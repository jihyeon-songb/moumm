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결과집계" sheetId="2" state="visible" r:id="rId4"/>
    <sheet name="샘플데이터" sheetId="3" state="visible" r:id="rId5"/>
    <sheet name="캡션복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Noto Sans CJK SC"/>
            <family val="2"/>
          </rPr>
          <t xml:space="preserve">지금 방식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네이버지도 등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으로 방문 여부를 판단하는 데 걸린 시간</t>
        </r>
        <r>
          <rPr>
            <sz val="10"/>
            <rFont val="Arial"/>
            <family val="2"/>
          </rPr>
          <t xml:space="preserve">.</t>
        </r>
      </text>
    </comment>
    <comment ref="L3" authorId="0">
      <text>
        <r>
          <rPr>
            <sz val="10"/>
            <rFont val="Noto Sans CJK SC"/>
            <family val="2"/>
          </rPr>
          <t xml:space="preserve">실제 배포 서버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데이터센터 </t>
        </r>
        <r>
          <rPr>
            <sz val="10"/>
            <rFont val="Arial"/>
            <family val="2"/>
          </rPr>
          <t xml:space="preserve">IP)</t>
        </r>
        <r>
          <rPr>
            <sz val="10"/>
            <rFont val="Noto Sans CJK SC"/>
            <family val="2"/>
          </rPr>
          <t xml:space="preserve">에서 요청한 결과 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로컬 </t>
        </r>
        <r>
          <rPr>
            <sz val="10"/>
            <rFont val="Arial"/>
            <family val="2"/>
          </rPr>
          <t xml:space="preserve">PC</t>
        </r>
        <r>
          <rPr>
            <sz val="10"/>
            <rFont val="Noto Sans CJK SC"/>
            <family val="2"/>
          </rPr>
          <t xml:space="preserve">에서는 되고 서버에서는 막히는 경우가 많다</t>
        </r>
        <r>
          <rPr>
            <sz val="10"/>
            <rFont val="Arial"/>
            <family val="2"/>
          </rPr>
          <t xml:space="preserve">.</t>
        </r>
      </text>
    </comment>
    <comment ref="O3" authorId="0">
      <text>
        <r>
          <rPr>
            <sz val="10"/>
            <rFont val="Noto Sans CJK SC"/>
            <family val="2"/>
          </rPr>
          <t xml:space="preserve">추출한 단서만으로 장소를 특정할 수 있을 정도면 </t>
        </r>
        <r>
          <rPr>
            <sz val="10"/>
            <rFont val="Arial"/>
            <family val="2"/>
          </rPr>
          <t xml:space="preserve">Y.</t>
        </r>
      </text>
    </comment>
    <comment ref="P3" authorId="0">
      <text>
        <r>
          <rPr>
            <sz val="10"/>
            <rFont val="Noto Sans CJK SC"/>
            <family val="2"/>
          </rPr>
          <t xml:space="preserve">커버 이미지 한 장만 </t>
        </r>
        <r>
          <rPr>
            <sz val="10"/>
            <rFont val="Arial"/>
            <family val="2"/>
          </rPr>
          <t xml:space="preserve">OCR</t>
        </r>
        <r>
          <rPr>
            <sz val="10"/>
            <rFont val="Noto Sans CJK SC"/>
            <family val="2"/>
          </rPr>
          <t xml:space="preserve">로 읽었을 때 장소 단서가 나오면 </t>
        </r>
        <r>
          <rPr>
            <sz val="10"/>
            <rFont val="Arial"/>
            <family val="2"/>
          </rPr>
          <t xml:space="preserve">Y.</t>
        </r>
      </text>
    </comment>
    <comment ref="Q3" authorId="0">
      <text>
        <r>
          <rPr>
            <sz val="10"/>
            <rFont val="Noto Sans CJK SC"/>
            <family val="2"/>
          </rPr>
          <t xml:space="preserve">카카오 키워드 검색에 상호만 넣었을 때 정답 장소의 순위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없으면 </t>
        </r>
        <r>
          <rPr>
            <sz val="10"/>
            <rFont val="Arial"/>
            <family val="2"/>
          </rPr>
          <t xml:space="preserve">0.</t>
        </r>
      </text>
    </comment>
    <comment ref="R3" authorId="0">
      <text>
        <r>
          <rPr>
            <sz val="10"/>
            <rFont val="Noto Sans CJK SC"/>
            <family val="2"/>
          </rPr>
          <t xml:space="preserve">상호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지역으로 검색했을 때 정답 장소의 순위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없으면 </t>
        </r>
        <r>
          <rPr>
            <sz val="10"/>
            <rFont val="Arial"/>
            <family val="2"/>
          </rPr>
          <t xml:space="preserve">0.</t>
        </r>
      </text>
    </comment>
    <comment ref="S3" authorId="0">
      <text>
        <r>
          <rPr>
            <sz val="10"/>
            <rFont val="Noto Sans CJK SC"/>
            <family val="2"/>
          </rPr>
          <t xml:space="preserve">두 검색 중 하나라도 </t>
        </r>
        <r>
          <rPr>
            <sz val="10"/>
            <rFont val="Arial"/>
            <family val="2"/>
          </rPr>
          <t xml:space="preserve">1~3</t>
        </r>
        <r>
          <rPr>
            <sz val="10"/>
            <rFont val="Noto Sans CJK SC"/>
            <family val="2"/>
          </rPr>
          <t xml:space="preserve">위면 </t>
        </r>
        <r>
          <rPr>
            <sz val="10"/>
            <rFont val="Arial"/>
            <family val="2"/>
          </rPr>
          <t xml:space="preserve">Y. </t>
        </r>
        <r>
          <rPr>
            <sz val="10"/>
            <rFont val="Noto Sans CJK SC"/>
            <family val="2"/>
          </rPr>
          <t xml:space="preserve">자동 계산</t>
        </r>
        <r>
          <rPr>
            <sz val="10"/>
            <rFont val="Arial"/>
            <family val="2"/>
          </rPr>
          <t xml:space="preserve">.</t>
        </r>
      </text>
    </comment>
    <comment ref="T3" authorId="0">
      <text>
        <r>
          <rPr>
            <sz val="10"/>
            <rFont val="Arial"/>
            <family val="2"/>
          </rPr>
          <t xml:space="preserve">Google Places</t>
        </r>
        <r>
          <rPr>
            <sz val="10"/>
            <rFont val="Noto Sans CJK SC"/>
            <family val="2"/>
          </rPr>
          <t xml:space="preserve">에서 정답 장소를 찾았는지</t>
        </r>
        <r>
          <rPr>
            <sz val="10"/>
            <rFont val="Arial"/>
            <family val="2"/>
          </rPr>
          <t xml:space="preserve">. U~X</t>
        </r>
        <r>
          <rPr>
            <sz val="10"/>
            <rFont val="Noto Sans CJK SC"/>
            <family val="2"/>
          </rPr>
          <t xml:space="preserve">는 찾은 경우 해당 필드가 채워져 있는지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<sst xmlns="http://schemas.openxmlformats.org/spreadsheetml/2006/main" count="378" uniqueCount="228">
  <si>
    <r>
      <rPr>
        <b val="true"/>
        <sz val="16"/>
        <color rgb="FF1F3A5F"/>
        <rFont val="Arial"/>
        <family val="0"/>
        <charset val="1"/>
      </rPr>
      <t xml:space="preserve">Moumm Phase 0 </t>
    </r>
    <r>
      <rPr>
        <b val="true"/>
        <sz val="16"/>
        <color rgb="FF1F3A5F"/>
        <rFont val="Noto Sans CJK SC"/>
        <family val="2"/>
      </rPr>
      <t xml:space="preserve">스파이크 측정 시트</t>
    </r>
  </si>
  <si>
    <t xml:space="preserve">목표: 앱을 만들기 전에 아래 세 질문에 숫자로 답한다. 기간 2~3일, 샘플 링크 30개.</t>
  </si>
  <si>
    <t xml:space="preserve">세 가지 질문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</si>
  <si>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단서 추출</t>
    </r>
  </si>
  <si>
    <t xml:space="preserve">링크만으로 장소명·지역 단서를 얻을 수 있는가?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</si>
  <si>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장소 매칭</t>
    </r>
  </si>
  <si>
    <t xml:space="preserve">그 단서로 카카오 검색 1~3위 안에서 정확한 장소를 찾을 수 있는가?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</si>
  <si>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정보 채움</t>
    </r>
  </si>
  <si>
    <t xml:space="preserve">찾은 장소의 영업시간·평점·가격대·리뷰를 무엇으로 채울 수 있는가?</t>
  </si>
  <si>
    <t xml:space="preserve">시트 구성</t>
  </si>
  <si>
    <t xml:space="preserve">샘플데이터</t>
  </si>
  <si>
    <t xml:space="preserve">링크 1개당 1행. 30행(No 1~30)이 준비되어 있다. 회색 '예시' 행은 집계에서 빠진다.</t>
  </si>
  <si>
    <t xml:space="preserve">캡션복사</t>
  </si>
  <si>
    <r>
      <rPr>
        <sz val="10"/>
        <rFont val="Arial"/>
        <family val="0"/>
        <charset val="1"/>
      </rPr>
      <t xml:space="preserve">iOS·Android </t>
    </r>
    <r>
      <rPr>
        <sz val="10"/>
        <rFont val="Noto Sans CJK SC"/>
        <family val="2"/>
      </rPr>
      <t xml:space="preserve">인스타 앱에서 캡션을 실제로 복사할 수 있는지 수동 확인한 결과</t>
    </r>
    <r>
      <rPr>
        <sz val="10"/>
        <rFont val="Arial"/>
        <family val="0"/>
        <charset val="1"/>
      </rPr>
      <t xml:space="preserve">.</t>
    </r>
  </si>
  <si>
    <t xml:space="preserve">결과집계</t>
  </si>
  <si>
    <t xml:space="preserve">자동 계산. 지표와 판단 기준선, 그에 따른 결정이 나온다. 기준선(노란 칸)은 수정할 수 있다.</t>
  </si>
  <si>
    <t xml:space="preserve">입력 규칙</t>
  </si>
  <si>
    <t xml:space="preserve">노란 칸</t>
  </si>
  <si>
    <t xml:space="preserve">직접 입력하는 칸이다. 그 외 칸은 수식이므로 건드리지 않는다.</t>
  </si>
  <si>
    <t xml:space="preserve">Y / N</t>
  </si>
  <si>
    <t xml:space="preserve">드롭다운에서 고른다. 아직 확인하지 않았으면 비워 둔다.</t>
  </si>
  <si>
    <t xml:space="preserve">카카오 순위</t>
  </si>
  <si>
    <t xml:space="preserve">정답 장소가 나온 순위(1, 2, 3 …)를 숫자로 적는다. 결과에 없으면 0.</t>
  </si>
  <si>
    <t xml:space="preserve">베이스라인</t>
  </si>
  <si>
    <t xml:space="preserve">지금 방식(네이버지도 등)으로 방문 여부를 판단하는 데 걸린 시간(초)과 검색 횟수.</t>
  </si>
  <si>
    <r>
      <rPr>
        <b val="true"/>
        <sz val="10"/>
        <rFont val="Arial"/>
        <family val="0"/>
        <charset val="1"/>
      </rPr>
      <t xml:space="preserve">og </t>
    </r>
    <r>
      <rPr>
        <b val="true"/>
        <sz val="10"/>
        <rFont val="Noto Sans CJK SC"/>
        <family val="2"/>
      </rPr>
      <t xml:space="preserve">메타 수집</t>
    </r>
  </si>
  <si>
    <t xml:space="preserve">로컬 PC가 아니라 실제 배포 서버(Vercel 등)에서 요청한 결과를 적는다.</t>
  </si>
  <si>
    <t xml:space="preserve">커버 OCR 단서</t>
  </si>
  <si>
    <t xml:space="preserve">릴스·게시물의 커버 이미지 한 장만 OCR로 읽었을 때 장소 단서가 나오는지. 링크 메타로 단서를 못 얻은 경우에 특히 기록한다.</t>
  </si>
  <si>
    <t xml:space="preserve">진행 순서</t>
  </si>
  <si>
    <t xml:space="preserve">Day 1</t>
  </si>
  <si>
    <t xml:space="preserve">지인 4~5명에게 링크 5~6개씩 수집 → 정답 장소 라벨링 → 베이스라인 측정</t>
  </si>
  <si>
    <t xml:space="preserve">Day 2</t>
  </si>
  <si>
    <t xml:space="preserve">서버에서 og 메타 수집 → LLM 단서 추출 → 카카오 검색 순위 → Google Places 필드 확인 → 캡션 복사 테스트</t>
  </si>
  <si>
    <t xml:space="preserve">Day 3</t>
  </si>
  <si>
    <t xml:space="preserve">결과집계 시트 확인 → 결정 사항을 설계 문서에 반영</t>
  </si>
  <si>
    <t xml:space="preserve">샘플 구성 가이드</t>
  </si>
  <si>
    <t xml:space="preserve">섞을 것</t>
  </si>
  <si>
    <t xml:space="preserve">게시물·릴스, 대형·소형 계정, 서울·지방, 신규 오픈 매장을 고루 포함한다.</t>
  </si>
  <si>
    <t xml:space="preserve">결과 집계 — 자동 계산</t>
  </si>
  <si>
    <t xml:space="preserve">샘플데이터 시트의 No 1~30 행만 집계한다(예시 행 제외). 비율의 분모는 입력된 샘플 수.</t>
  </si>
  <si>
    <r>
      <rPr>
        <b val="true"/>
        <sz val="11"/>
        <color rgb="FF1F3A5F"/>
        <rFont val="Arial"/>
        <family val="0"/>
        <charset val="1"/>
      </rPr>
      <t xml:space="preserve">1. </t>
    </r>
    <r>
      <rPr>
        <b val="true"/>
        <sz val="11"/>
        <color rgb="FF1F3A5F"/>
        <rFont val="Noto Sans CJK SC"/>
        <family val="2"/>
      </rPr>
      <t xml:space="preserve">샘플</t>
    </r>
  </si>
  <si>
    <t xml:space="preserve">항목</t>
  </si>
  <si>
    <t xml:space="preserve">값</t>
  </si>
  <si>
    <t xml:space="preserve">설명</t>
  </si>
  <si>
    <t xml:space="preserve">입력된 샘플 수</t>
  </si>
  <si>
    <r>
      <rPr>
        <sz val="10"/>
        <color rgb="FF555555"/>
        <rFont val="Arial"/>
        <family val="0"/>
        <charset val="1"/>
      </rPr>
      <t xml:space="preserve">URL</t>
    </r>
    <r>
      <rPr>
        <sz val="10"/>
        <color rgb="FF555555"/>
        <rFont val="Noto Sans CJK SC"/>
        <family val="2"/>
      </rPr>
      <t xml:space="preserve">이 입력된 행 수</t>
    </r>
  </si>
  <si>
    <t xml:space="preserve">릴스 비율</t>
  </si>
  <si>
    <t xml:space="preserve">게시물/릴스 구성 확인용</t>
  </si>
  <si>
    <t xml:space="preserve">소형 계정 비율</t>
  </si>
  <si>
    <t xml:space="preserve">표본 편향 확인용</t>
  </si>
  <si>
    <t xml:space="preserve">신규 오픈 매장 수</t>
  </si>
  <si>
    <t xml:space="preserve">카카오 미등록 가능성이 높은 표본</t>
  </si>
  <si>
    <t xml:space="preserve">베이스라인 평균 판단 시간(초)</t>
  </si>
  <si>
    <r>
      <rPr>
        <sz val="10"/>
        <color rgb="FF555555"/>
        <rFont val="Arial"/>
        <family val="0"/>
        <charset val="1"/>
      </rPr>
      <t xml:space="preserve">10</t>
    </r>
    <r>
      <rPr>
        <sz val="10"/>
        <color rgb="FF555555"/>
        <rFont val="Noto Sans CJK SC"/>
        <family val="2"/>
      </rPr>
      <t xml:space="preserve">명 테스트의 비교 기준</t>
    </r>
  </si>
  <si>
    <t xml:space="preserve">베이스라인 평균 검색 횟수(회)</t>
  </si>
  <si>
    <r>
      <rPr>
        <b val="true"/>
        <sz val="11"/>
        <color rgb="FF1F3A5F"/>
        <rFont val="Arial"/>
        <family val="0"/>
        <charset val="1"/>
      </rPr>
      <t xml:space="preserve">2. </t>
    </r>
    <r>
      <rPr>
        <b val="true"/>
        <sz val="11"/>
        <color rgb="FF1F3A5F"/>
        <rFont val="Noto Sans CJK SC"/>
        <family val="2"/>
      </rPr>
      <t xml:space="preserve">지표</t>
    </r>
  </si>
  <si>
    <t xml:space="preserve">지표</t>
  </si>
  <si>
    <t xml:space="preserve">전체</t>
  </si>
  <si>
    <t xml:space="preserve">게시물</t>
  </si>
  <si>
    <t xml:space="preserve">릴스</t>
  </si>
  <si>
    <r>
      <rPr>
        <sz val="10"/>
        <rFont val="Arial"/>
        <family val="0"/>
        <charset val="1"/>
      </rPr>
      <t xml:space="preserve">og </t>
    </r>
    <r>
      <rPr>
        <sz val="10"/>
        <rFont val="Noto Sans CJK SC"/>
        <family val="2"/>
      </rPr>
      <t xml:space="preserve">메타 수집 성공률</t>
    </r>
  </si>
  <si>
    <t xml:space="preserve">서버 IP에서 메타데이터를 받은 비율</t>
  </si>
  <si>
    <t xml:space="preserve">단서 추출률</t>
  </si>
  <si>
    <t xml:space="preserve">질문 1 · 링크만으로 장소 단서를 얻은 비율</t>
  </si>
  <si>
    <t xml:space="preserve">커버 OCR 단서 추출률</t>
  </si>
  <si>
    <t xml:space="preserve">커버 이미지 한 장으로 단서를 얻은 비율</t>
  </si>
  <si>
    <t xml:space="preserve">링크 또는 커버 단서 추출률</t>
  </si>
  <si>
    <t xml:space="preserve">링크 메타 + 커버 OCR까지 쓰면 확보되는 비율</t>
  </si>
  <si>
    <t xml:space="preserve">카카오 1위 매칭률</t>
  </si>
  <si>
    <t xml:space="preserve">두 검색 중 하나라도 정답이 1위</t>
  </si>
  <si>
    <t xml:space="preserve">카카오 Top 3 매칭률</t>
  </si>
  <si>
    <t xml:space="preserve">질문 2 · 정답이 1~3위 안</t>
  </si>
  <si>
    <t xml:space="preserve">상호+지역 검색이 더 나은 비율</t>
  </si>
  <si>
    <t xml:space="preserve">검색어 전략 판단용</t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</si>
  <si>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장소 찾음률</t>
    </r>
  </si>
  <si>
    <r>
      <rPr>
        <sz val="10"/>
        <color rgb="FF555555"/>
        <rFont val="Arial"/>
        <family val="0"/>
        <charset val="1"/>
      </rPr>
      <t xml:space="preserve">Google Places</t>
    </r>
    <r>
      <rPr>
        <sz val="10"/>
        <color rgb="FF555555"/>
        <rFont val="Noto Sans CJK SC"/>
        <family val="2"/>
      </rPr>
      <t xml:space="preserve">에서 정답 장소를 찾은 비율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</si>
  <si>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영업시간 채움률</t>
    </r>
  </si>
  <si>
    <t xml:space="preserve">질문 3</t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</si>
  <si>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평점 채움률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</si>
  <si>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가격대 채움률</t>
    </r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</si>
  <si>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리뷰 채움률</t>
    </r>
  </si>
  <si>
    <r>
      <rPr>
        <b val="true"/>
        <sz val="11"/>
        <color rgb="FF1F3A5F"/>
        <rFont val="Arial"/>
        <family val="0"/>
        <charset val="1"/>
      </rPr>
      <t xml:space="preserve">3. </t>
    </r>
    <r>
      <rPr>
        <b val="true"/>
        <sz val="11"/>
        <color rgb="FF1F3A5F"/>
        <rFont val="Noto Sans CJK SC"/>
        <family val="2"/>
      </rPr>
      <t xml:space="preserve">판단 </t>
    </r>
    <r>
      <rPr>
        <b val="true"/>
        <sz val="11"/>
        <color rgb="FF1F3A5F"/>
        <rFont val="Arial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기준선은 노란 칸에서 수정 가능</t>
    </r>
    <r>
      <rPr>
        <b val="true"/>
        <sz val="11"/>
        <color rgb="FF1F3A5F"/>
        <rFont val="Arial"/>
        <family val="0"/>
        <charset val="1"/>
      </rPr>
      <t xml:space="preserve">)</t>
    </r>
  </si>
  <si>
    <t xml:space="preserve">질문</t>
  </si>
  <si>
    <t xml:space="preserve">현재 값</t>
  </si>
  <si>
    <t xml:space="preserve">기준선 상</t>
  </si>
  <si>
    <t xml:space="preserve">기준선 하</t>
  </si>
  <si>
    <t xml:space="preserve">결정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</si>
  <si>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단서 추출률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</si>
  <si>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카카오 </t>
    </r>
    <r>
      <rPr>
        <b val="true"/>
        <sz val="10"/>
        <rFont val="Arial"/>
        <family val="0"/>
        <charset val="1"/>
      </rPr>
      <t xml:space="preserve">Top 3 </t>
    </r>
    <r>
      <rPr>
        <b val="true"/>
        <sz val="10"/>
        <rFont val="Noto Sans CJK SC"/>
        <family val="2"/>
      </rPr>
      <t xml:space="preserve">매칭률</t>
    </r>
  </si>
  <si>
    <r>
      <rPr>
        <b val="true"/>
        <sz val="10"/>
        <rFont val="Arial"/>
        <family val="0"/>
        <charset val="1"/>
      </rPr>
      <t xml:space="preserve">3. Google </t>
    </r>
    <r>
      <rPr>
        <b val="true"/>
        <sz val="10"/>
        <rFont val="Noto Sans CJK SC"/>
        <family val="2"/>
      </rPr>
      <t xml:space="preserve">정보 채움률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영업시간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평점 중 낮은 값</t>
    </r>
    <r>
      <rPr>
        <b val="true"/>
        <sz val="10"/>
        <rFont val="Arial"/>
        <family val="0"/>
        <charset val="1"/>
      </rPr>
      <t xml:space="preserve">)</t>
    </r>
  </si>
  <si>
    <t xml:space="preserve">—</t>
  </si>
  <si>
    <t xml:space="preserve">보조 확인</t>
  </si>
  <si>
    <t xml:space="preserve">캡션 복사 가능한 경우(4개 중)</t>
  </si>
  <si>
    <t xml:space="preserve">캡션복사 시트 · 2 미만이면 캡션 대체 경로는 약함</t>
  </si>
  <si>
    <t xml:space="preserve">커버 OCR로만 단서를 얻은 건수</t>
  </si>
  <si>
    <t xml:space="preserve">링크 메타는 실패했지만 커버 이미지로 확보 · 영상 분석 필요성 판단용</t>
  </si>
  <si>
    <t xml:space="preserve">신규 오픈 + 단서 추출 실패 건수</t>
  </si>
  <si>
    <t xml:space="preserve">카카오 미등록 가능성과 함께 볼 표본</t>
  </si>
  <si>
    <t xml:space="preserve">기준선 출처: Moumm MVP 설계 문서 PM 리뷰의 Phase 0 제안값. 60~80% 구간 결정은 이 시트에서 보완한 가정.</t>
  </si>
  <si>
    <t xml:space="preserve">샘플 데이터 — 링크 1개당 1행</t>
  </si>
  <si>
    <t xml:space="preserve">기본 정보 · 정답 라벨 (Day 1)</t>
  </si>
  <si>
    <t xml:space="preserve">베이스라인 (Day 1)</t>
  </si>
  <si>
    <t xml:space="preserve">단서 추출 (Day 2)</t>
  </si>
  <si>
    <t xml:space="preserve">카카오 매칭 (Day 2)</t>
  </si>
  <si>
    <r>
      <rPr>
        <b val="true"/>
        <sz val="10"/>
        <color rgb="FFFFFFFF"/>
        <rFont val="Arial"/>
        <family val="0"/>
        <charset val="1"/>
      </rPr>
      <t xml:space="preserve">Google Places </t>
    </r>
    <r>
      <rPr>
        <b val="true"/>
        <sz val="10"/>
        <color rgb="FFFFFFFF"/>
        <rFont val="Noto Sans CJK SC"/>
        <family val="2"/>
      </rPr>
      <t xml:space="preserve">채움 </t>
    </r>
    <r>
      <rPr>
        <b val="true"/>
        <sz val="10"/>
        <color rgb="FFFFFFFF"/>
        <rFont val="Arial"/>
        <family val="0"/>
        <charset val="1"/>
      </rPr>
      <t xml:space="preserve">(Day 2)</t>
    </r>
  </si>
  <si>
    <t xml:space="preserve">No</t>
  </si>
  <si>
    <t xml:space="preserve">수집자</t>
  </si>
  <si>
    <t xml:space="preserve">URL</t>
  </si>
  <si>
    <t xml:space="preserve">유형</t>
  </si>
  <si>
    <t xml:space="preserve">계정 규모</t>
  </si>
  <si>
    <t xml:space="preserve">지역</t>
  </si>
  <si>
    <t xml:space="preserve">신규 오픈</t>
  </si>
  <si>
    <t xml:space="preserve">정답 장소명</t>
  </si>
  <si>
    <t xml:space="preserve">정답 주소</t>
  </si>
  <si>
    <t xml:space="preserve">판단 시간(초)</t>
  </si>
  <si>
    <t xml:space="preserve">검색 횟수(회)</t>
  </si>
  <si>
    <r>
      <rPr>
        <b val="true"/>
        <sz val="10"/>
        <color rgb="FFFFFFFF"/>
        <rFont val="Arial"/>
        <family val="0"/>
        <charset val="1"/>
      </rPr>
      <t xml:space="preserve">og </t>
    </r>
    <r>
      <rPr>
        <b val="true"/>
        <sz val="10"/>
        <color rgb="FFFFFFFF"/>
        <rFont val="Noto Sans CJK SC"/>
        <family val="2"/>
      </rPr>
      <t xml:space="preserve">메타 수집</t>
    </r>
  </si>
  <si>
    <t xml:space="preserve">추출 장소명 단서</t>
  </si>
  <si>
    <t xml:space="preserve">추출 지역 단서</t>
  </si>
  <si>
    <t xml:space="preserve">단서 추출(링크 메타)</t>
  </si>
  <si>
    <t xml:space="preserve">순위: 상호만</t>
  </si>
  <si>
    <t xml:space="preserve">순위: 상호+지역</t>
  </si>
  <si>
    <r>
      <rPr>
        <b val="true"/>
        <sz val="10"/>
        <color rgb="FFFFFFFF"/>
        <rFont val="Arial"/>
        <family val="0"/>
        <charset val="1"/>
      </rPr>
      <t xml:space="preserve">Top 3 </t>
    </r>
    <r>
      <rPr>
        <b val="true"/>
        <sz val="10"/>
        <color rgb="FFFFFFFF"/>
        <rFont val="Noto Sans CJK SC"/>
        <family val="2"/>
      </rPr>
      <t xml:space="preserve">매칭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</si>
  <si>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장소 찾음</t>
  </si>
  <si>
    <t xml:space="preserve">영업시간</t>
  </si>
  <si>
    <t xml:space="preserve">평점</t>
  </si>
  <si>
    <t xml:space="preserve">가격대</t>
  </si>
  <si>
    <t xml:space="preserve">리뷰</t>
  </si>
  <si>
    <t xml:space="preserve">메모</t>
  </si>
  <si>
    <t xml:space="preserve">예시</t>
  </si>
  <si>
    <t xml:space="preserve">지현</t>
  </si>
  <si>
    <t xml:space="preserve">https://www.instagram.com/reel/EXAMPLE123/</t>
  </si>
  <si>
    <t xml:space="preserve">소형</t>
  </si>
  <si>
    <t xml:space="preserve">성수</t>
  </si>
  <si>
    <t xml:space="preserve">N</t>
  </si>
  <si>
    <t xml:space="preserve">예시카페 성수점</t>
  </si>
  <si>
    <t xml:space="preserve">서울 성동구 연무장길 00</t>
  </si>
  <si>
    <t xml:space="preserve">Y</t>
  </si>
  <si>
    <t xml:space="preserve">예시카페</t>
  </si>
  <si>
    <t xml:space="preserve">예시 행 — 집계에서 제외됨</t>
  </si>
  <si>
    <t xml:space="preserve">https://www.instagram.com/p/DebSBlTkkvr/</t>
  </si>
  <si>
    <t xml:space="preserve">광주 상무지구</t>
  </si>
  <si>
    <t xml:space="preserve">다도해물나라</t>
  </si>
  <si>
    <t xml:space="preserve">광주 서구 마륵복개로 57 1층</t>
  </si>
  <si>
    <t xml:space="preserve">광주 서구 마륵복개로 57</t>
  </si>
  <si>
    <t xml:space="preserve">캡션에 상호·주소·영업시간·전화번호가 모두 있음. og 메타는 로그인 없는 브라우저(가정용 IP)에서 확인, 서버 IP 결과는 미측정. 메뉴·가격은 캡션에 없음(캐러셀 이미지에 있을 가능성). 카카오맵 웹 1위 확인(평점 4.0, 영업시간 표시) — REST API 응답은 별도 확인 필요. | Google: 4.2점(323), 영업 11:00–21:30 (카카오·캡션 21:00과 다름), 가격 $$</t>
  </si>
  <si>
    <t xml:space="preserve">https://www.instagram.com/reel/DeWgkk4SoC4/</t>
  </si>
  <si>
    <t xml:space="preserve">해당 없음 (장소 콘텐츠 아님)</t>
  </si>
  <si>
    <t xml:space="preserve">없음</t>
  </si>
  <si>
    <t xml:space="preserve">다이어트 식단 제품 릴스 — 맛집·카페가 아님. 캡션에 장소·상품명 단서 없음. 영상은 연령 제한으로 비로그인 시 재생 불가(og 메타는 수집됨). 서버 IP 결과 미측정. 범위 밖 입력 처리 사례로 기록.</t>
  </si>
  <si>
    <t xml:space="preserve">https://www.instagram.com/reel/DeMiXAdJ49Q/</t>
  </si>
  <si>
    <t xml:space="preserve">광주 우산동(하남)</t>
  </si>
  <si>
    <t xml:space="preserve">장군닭발</t>
  </si>
  <si>
    <t xml:space="preserve">광주 광산구 풍영철길로 15 콜럼버스월드 B1 B103호 (우산동 1587-1)</t>
  </si>
  <si>
    <t xml:space="preserve">우산동, 하남</t>
  </si>
  <si>
    <t xml:space="preserve">캡션 끝에 "💌 우산동 장군닭발" 형식으로 상호+동 표기. 추천 이유·메뉴(닭발, 오돌뼈, 똥집, 양념갈비, 닭발+마요+주먹밥 조합)가 캡션에 풍부. 카카오 "장군닭발" 검색 시 1위(전국 74건), "우산동 장군닭발" 검색 시 결과에 없음 — 도로명 주소라 동 이름 결합 검색이 실패. 카카오 별점 0.0(후기 없음), 메뉴는 등록됨. og 메타는 비로그인 브라우저에서 확인, 서버 IP 미측정. | Google: 평점 없음, 영업 화–일 17:00–24:00/월 휴무</t>
  </si>
  <si>
    <t xml:space="preserve">https://www.instagram.com/reel/Dd0lf4ABCUI/</t>
  </si>
  <si>
    <t xml:space="preserve">광주 문흥동</t>
  </si>
  <si>
    <t xml:space="preserve">이현김밥</t>
  </si>
  <si>
    <t xml:space="preserve">광주 북구 평교로 26 1층 (문흥동 924-12)</t>
  </si>
  <si>
    <t xml:space="preserve">북구 평교로 26-1, 문흥동</t>
  </si>
  <si>
    <t xml:space="preserve">캡션에 상호·도로명 주소·영업시간·메뉴 3종(이현김밥, 참치와사비김밥, 매콤오징어진미김밥)·추천 이유가 모두 있음. 위치 태그도 "문흥동"으로 구체적. 카카오 "이현김밥" 1위(전체 3건). 주소 불일치: 캡션 평교로 26-1 vs 카카오 평교로 26 → 주소 비교는 정확 일치가 아닌 근사 비교 필요. 영업정보 차이: 캡션 "주 2일 휴무" vs 카카오 "화~금 10:00~14:00". 상호명이 메뉴명과 같음(이현김밥). 이 샘플부터 브라우저가 로그인 상태로 보임(좋아요 수 비노출). | Google: 5.0점(3), 영업 월–금 11–18·토 11–14 → 캡션(10–14)·카카오(화–금 10–14)와 크게 다름. 오래된 정보로 보임</t>
  </si>
  <si>
    <t xml:space="preserve">https://www.instagram.com/reel/DdIo8VcTB-Y/</t>
  </si>
  <si>
    <t xml:space="preserve">광주 북구 신용동(첨단)</t>
  </si>
  <si>
    <t xml:space="preserve">원화소복</t>
  </si>
  <si>
    <t xml:space="preserve">광주 북구 임방울대로1042번길 14-20 1층 104호 (신용동 542-21)</t>
  </si>
  <si>
    <t xml:space="preserve">북구 임방울대로1042번길 14-20</t>
  </si>
  <si>
    <t xml:space="preserve">캡션 끝 "✔️ 상호 / 📍주소" 정형 표기, 주소가 카카오와 정확히 일치. 신메뉴 4종(딸기·샤인머스켓·무화과 요거트 모찌, 홍시 찹쌀떡) 언급. 카카오 검색 결과 1건, 1위. 카카오 카테고리는 "떡,한과"라 카페·디저트 분류 기준 필요. 위치 태그는 "광주"뿐. | Google: 검색 결과 없음(주변 아파트만 나옴)</t>
  </si>
  <si>
    <t xml:space="preserve">https://www.instagram.com/reel/DeRHxgqznzt/</t>
  </si>
  <si>
    <t xml:space="preserve">광주(지역 미상)</t>
  </si>
  <si>
    <t xml:space="preserve">복수 장소 (영상 화면에 18곳 이상 목록)</t>
  </si>
  <si>
    <t xml:space="preserve">광주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</si>
  <si>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여러 곳 모음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영상으로만 소개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캡션은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광주 토박이가 끓여주는 맛집 </t>
    </r>
    <r>
      <rPr>
        <sz val="10"/>
        <color rgb="FF0000FF"/>
        <rFont val="Arial"/>
        <family val="0"/>
        <charset val="1"/>
      </rPr>
      <t xml:space="preserve">best10"</t>
    </r>
    <r>
      <rPr>
        <sz val="10"/>
        <color rgb="FF0000FF"/>
        <rFont val="Noto Sans CJK SC"/>
        <family val="2"/>
      </rPr>
      <t xml:space="preserve">과 해시태그뿐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상호 목록은 영상 화면 텍스트에만 있음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국제연탄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신쭈꾸미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상무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짱구이생막창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루키초밥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김서방국밥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한우촌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고서옛날창평국밥 등 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곳 이상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제목은 </t>
    </r>
    <r>
      <rPr>
        <sz val="10"/>
        <color rgb="FF0000FF"/>
        <rFont val="Arial"/>
        <family val="0"/>
        <charset val="1"/>
      </rPr>
      <t xml:space="preserve">best10). </t>
    </r>
    <r>
      <rPr>
        <sz val="10"/>
        <color rgb="FF0000FF"/>
        <rFont val="Noto Sans CJK SC"/>
        <family val="2"/>
      </rPr>
      <t xml:space="preserve">지점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지역 정보는 대부분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위치 태그 없음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오리지널 오디오</t>
    </r>
    <r>
      <rPr>
        <sz val="10"/>
        <color rgb="FF0000FF"/>
        <rFont val="Arial"/>
        <family val="0"/>
        <charset val="1"/>
      </rPr>
      <t xml:space="preserve">). </t>
    </r>
    <r>
      <rPr>
        <sz val="10"/>
        <color rgb="FF0000FF"/>
        <rFont val="Noto Sans CJK SC"/>
        <family val="2"/>
      </rPr>
      <t xml:space="preserve">댓글은 브라우저에서 로드되지 않아 미확인</t>
    </r>
    <r>
      <rPr>
        <sz val="10"/>
        <color rgb="FF0000FF"/>
        <rFont val="Arial"/>
        <family val="0"/>
        <charset val="1"/>
      </rPr>
      <t xml:space="preserve">. og </t>
    </r>
    <r>
      <rPr>
        <sz val="10"/>
        <color rgb="FF0000FF"/>
        <rFont val="Noto Sans CJK SC"/>
        <family val="2"/>
      </rPr>
      <t xml:space="preserve">메타만으로는 장소 추출 불가 → </t>
    </r>
    <r>
      <rPr>
        <sz val="10"/>
        <color rgb="FF0000FF"/>
        <rFont val="Arial"/>
        <family val="0"/>
        <charset val="1"/>
      </rPr>
      <t xml:space="preserve">OCR </t>
    </r>
    <r>
      <rPr>
        <sz val="10"/>
        <color rgb="FF0000FF"/>
        <rFont val="Noto Sans CJK SC"/>
        <family val="2"/>
      </rPr>
      <t xml:space="preserve">필요 사례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화면 확인은 로그인 상태 브라우저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커버 이미지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영상 첫 화면</t>
    </r>
    <r>
      <rPr>
        <sz val="10"/>
        <color rgb="FF0000FF"/>
        <rFont val="Arial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에 상호 목록이 고정 글자로 표시됨 → 커버 </t>
    </r>
    <r>
      <rPr>
        <sz val="10"/>
        <color rgb="FF0000FF"/>
        <rFont val="Arial"/>
        <family val="0"/>
        <charset val="1"/>
      </rPr>
      <t xml:space="preserve">OCR </t>
    </r>
    <r>
      <rPr>
        <sz val="10"/>
        <color rgb="FF0000FF"/>
        <rFont val="Noto Sans CJK SC"/>
        <family val="2"/>
      </rPr>
      <t xml:space="preserve">단서 </t>
    </r>
    <r>
      <rPr>
        <sz val="10"/>
        <color rgb="FF0000FF"/>
        <rFont val="Arial"/>
        <family val="0"/>
        <charset val="1"/>
      </rPr>
      <t xml:space="preserve">Y.</t>
    </r>
  </si>
  <si>
    <t xml:space="preserve">https://www.instagram.com/reel/DV-CmUZkRWg/</t>
  </si>
  <si>
    <t xml:space="preserve">대형</t>
  </si>
  <si>
    <t xml:space="preserve">서울 망원동</t>
  </si>
  <si>
    <t xml:space="preserve">복수 3곳: 오얏키친 / 피망룸 / 히비노</t>
  </si>
  <si>
    <t xml:space="preserve">마포구 월드컵로13길 19-23 201호 / 희우정로20길 54 2층 / 성미산로 20 2층</t>
  </si>
  <si>
    <t xml:space="preserve">오얏키친, 피망룸, 히비노</t>
  </si>
  <si>
    <t xml:space="preserve">서울 마포구 (3곳 모두 도로명 주소)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</si>
  <si>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여러 곳 모음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정형 캡션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서울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캡션에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각각 상호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인스타 계정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도로명 주소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영업시간이 정리됨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카카오 상호 검색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모두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결과 </t>
    </r>
    <r>
      <rPr>
        <sz val="10"/>
        <color rgb="FF0000FF"/>
        <rFont val="Arial"/>
        <family val="0"/>
        <charset val="1"/>
      </rPr>
      <t xml:space="preserve">1~2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). </t>
    </r>
    <r>
      <rPr>
        <sz val="10"/>
        <color rgb="FF0000FF"/>
        <rFont val="Noto Sans CJK SC"/>
        <family val="2"/>
      </rPr>
      <t xml:space="preserve">게시일 </t>
    </r>
    <r>
      <rPr>
        <sz val="10"/>
        <color rgb="FF0000FF"/>
        <rFont val="Arial"/>
        <family val="0"/>
        <charset val="1"/>
      </rPr>
      <t xml:space="preserve">2026-03-16</t>
    </r>
    <r>
      <rPr>
        <sz val="10"/>
        <color rgb="FF0000FF"/>
        <rFont val="Noto Sans CJK SC"/>
        <family val="2"/>
      </rPr>
      <t xml:space="preserve">로 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개월 전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신상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소개 → 오얏키친 영업시간 캡션 </t>
    </r>
    <r>
      <rPr>
        <sz val="10"/>
        <color rgb="FF0000FF"/>
        <rFont val="Arial"/>
        <family val="0"/>
        <charset val="1"/>
      </rPr>
      <t xml:space="preserve">11:00-20:00 vs </t>
    </r>
    <r>
      <rPr>
        <sz val="10"/>
        <color rgb="FF0000FF"/>
        <rFont val="Noto Sans CJK SC"/>
        <family val="2"/>
      </rPr>
      <t xml:space="preserve">카카오 </t>
    </r>
    <r>
      <rPr>
        <sz val="10"/>
        <color rgb="FF0000FF"/>
        <rFont val="Arial"/>
        <family val="0"/>
        <charset val="1"/>
      </rPr>
      <t xml:space="preserve">11:00-16:00 </t>
    </r>
    <r>
      <rPr>
        <sz val="10"/>
        <color rgb="FF0000FF"/>
        <rFont val="Noto Sans CJK SC"/>
        <family val="2"/>
      </rPr>
      <t xml:space="preserve">불일치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게시 후 변경 추정</t>
    </r>
    <r>
      <rPr>
        <sz val="10"/>
        <color rgb="FF0000FF"/>
        <rFont val="Arial"/>
        <family val="0"/>
        <charset val="1"/>
      </rPr>
      <t xml:space="preserve">). </t>
    </r>
    <r>
      <rPr>
        <sz val="10"/>
        <color rgb="FF0000FF"/>
        <rFont val="Noto Sans CJK SC"/>
        <family val="2"/>
      </rPr>
      <t xml:space="preserve">좋아요 </t>
    </r>
    <r>
      <rPr>
        <sz val="10"/>
        <color rgb="FF0000FF"/>
        <rFont val="Arial"/>
        <family val="0"/>
        <charset val="1"/>
      </rPr>
      <t xml:space="preserve">3,188</t>
    </r>
    <r>
      <rPr>
        <sz val="10"/>
        <color rgb="FF0000FF"/>
        <rFont val="Noto Sans CJK SC"/>
        <family val="2"/>
      </rPr>
      <t xml:space="preserve">개 대형 계정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순위 칸은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모두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위라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로 기록</t>
    </r>
    <r>
      <rPr>
        <sz val="10"/>
        <color rgb="FF0000FF"/>
        <rFont val="Arial"/>
        <family val="0"/>
        <charset val="1"/>
      </rPr>
      <t xml:space="preserve">. | Google 3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오얏키친 </t>
    </r>
    <r>
      <rPr>
        <sz val="10"/>
        <color rgb="FF0000FF"/>
        <rFont val="Arial"/>
        <family val="0"/>
        <charset val="1"/>
      </rPr>
      <t xml:space="preserve">4.3(3) </t>
    </r>
    <r>
      <rPr>
        <sz val="10"/>
        <color rgb="FF0000FF"/>
        <rFont val="Noto Sans CJK SC"/>
        <family val="2"/>
      </rPr>
      <t xml:space="preserve">영업시간 없음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피망룸 </t>
    </r>
    <r>
      <rPr>
        <sz val="10"/>
        <color rgb="FF0000FF"/>
        <rFont val="Arial"/>
        <family val="0"/>
        <charset val="1"/>
      </rPr>
      <t xml:space="preserve">5.0(1) </t>
    </r>
    <r>
      <rPr>
        <sz val="10"/>
        <color rgb="FF0000FF"/>
        <rFont val="Noto Sans CJK SC"/>
        <family val="2"/>
      </rPr>
      <t xml:space="preserve">영업시간 있음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화 휴무 일치</t>
    </r>
    <r>
      <rPr>
        <sz val="10"/>
        <color rgb="FF0000FF"/>
        <rFont val="Arial"/>
        <family val="0"/>
        <charset val="1"/>
      </rPr>
      <t xml:space="preserve">) / </t>
    </r>
    <r>
      <rPr>
        <sz val="10"/>
        <color rgb="FF0000FF"/>
        <rFont val="Noto Sans CJK SC"/>
        <family val="2"/>
      </rPr>
      <t xml:space="preserve">히비노 평점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영업시간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행에는 다수 기준으로 기록</t>
    </r>
  </si>
  <si>
    <t xml:space="preserve">https://www.instagram.com/reel/Dakdm7hJSL-/</t>
  </si>
  <si>
    <t xml:space="preserve">서울 성수(뚝섬역)</t>
  </si>
  <si>
    <t xml:space="preserve">복수 3곳: 팔레트커리 / 아이안 / 코리야</t>
  </si>
  <si>
    <t xml:space="preserve">성동구 상원1길 35 / 왕십리로4가길 3 3층 / 왕십리로4길 10-20 B1</t>
  </si>
  <si>
    <t xml:space="preserve">팔레트커리, 아이안, 코리야 (+인스타 계정)</t>
  </si>
  <si>
    <t xml:space="preserve">뚝섬역, 성수동, 서울숲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</si>
  <si>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여러 곳 모음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협찬 광고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서울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캡션에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상호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인스타 계정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추천 이유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추천 메뉴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믹스드 탄두리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시즌 아이스크림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카키고오리</t>
    </r>
    <r>
      <rPr>
        <sz val="10"/>
        <color rgb="FF0000FF"/>
        <rFont val="Arial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는 있으나 주소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지역은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뚝섬역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성수동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제목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해시태그에만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카카오 상호만 검색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팔레트커리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코리야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(2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망원점과 구분 필요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아이안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(35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일반 단어</t>
    </r>
    <r>
      <rPr>
        <sz val="10"/>
        <color rgb="FF0000FF"/>
        <rFont val="Arial"/>
        <family val="0"/>
        <charset val="1"/>
      </rPr>
      <t xml:space="preserve">). "</t>
    </r>
    <r>
      <rPr>
        <sz val="10"/>
        <color rgb="FF0000FF"/>
        <rFont val="Noto Sans CJK SC"/>
        <family val="2"/>
      </rPr>
      <t xml:space="preserve">성수 아이안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검색 시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 → 장군닭발과 반대로 지역 결합이 도움됨 → 두 검색을 모두 돌려 합치는 전략 필요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순위 칸은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곳 중 가장 낮은 순위 기록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게시물에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협찬 광고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표시 → 추천 이유를 광고로 표시해야 하는지 판단 필요</t>
    </r>
    <r>
      <rPr>
        <sz val="10"/>
        <color rgb="FF0000FF"/>
        <rFont val="Arial"/>
        <family val="0"/>
        <charset val="1"/>
      </rPr>
      <t xml:space="preserve">. | Google 3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팔레트커리 </t>
    </r>
    <r>
      <rPr>
        <sz val="10"/>
        <color rgb="FF0000FF"/>
        <rFont val="Arial"/>
        <family val="0"/>
        <charset val="1"/>
      </rPr>
      <t xml:space="preserve">4.8(17) </t>
    </r>
    <r>
      <rPr>
        <sz val="10"/>
        <color rgb="FF0000FF"/>
        <rFont val="Noto Sans CJK SC"/>
        <family val="2"/>
      </rPr>
      <t xml:space="preserve">영업시간</t>
    </r>
    <r>
      <rPr>
        <sz val="10"/>
        <color rgb="FF0000FF"/>
        <rFont val="Arial"/>
        <family val="0"/>
        <charset val="1"/>
      </rPr>
      <t xml:space="preserve">·$$ / </t>
    </r>
    <r>
      <rPr>
        <sz val="10"/>
        <color rgb="FF0000FF"/>
        <rFont val="Noto Sans CJK SC"/>
        <family val="2"/>
      </rPr>
      <t xml:space="preserve">아이안 </t>
    </r>
    <r>
      <rPr>
        <sz val="10"/>
        <color rgb="FF0000FF"/>
        <rFont val="Arial"/>
        <family val="0"/>
        <charset val="1"/>
      </rPr>
      <t xml:space="preserve">4.8(23) </t>
    </r>
    <r>
      <rPr>
        <sz val="10"/>
        <color rgb="FF0000FF"/>
        <rFont val="Noto Sans CJK SC"/>
        <family val="2"/>
      </rPr>
      <t xml:space="preserve">영업시간 없음</t>
    </r>
    <r>
      <rPr>
        <sz val="10"/>
        <color rgb="FF0000FF"/>
        <rFont val="Arial"/>
        <family val="0"/>
        <charset val="1"/>
      </rPr>
      <t xml:space="preserve">·$$ / </t>
    </r>
    <r>
      <rPr>
        <sz val="10"/>
        <color rgb="FF0000FF"/>
        <rFont val="Noto Sans CJK SC"/>
        <family val="2"/>
      </rPr>
      <t xml:space="preserve">코리야 </t>
    </r>
    <r>
      <rPr>
        <sz val="10"/>
        <color rgb="FF0000FF"/>
        <rFont val="Arial"/>
        <family val="0"/>
        <charset val="1"/>
      </rPr>
      <t xml:space="preserve">5.0(71) </t>
    </r>
    <r>
      <rPr>
        <sz val="10"/>
        <color rgb="FF0000FF"/>
        <rFont val="Noto Sans CJK SC"/>
        <family val="2"/>
      </rPr>
      <t xml:space="preserve">영업시간 있음</t>
    </r>
  </si>
  <si>
    <t xml:space="preserve">https://www.instagram.com/reel/DbS7TLxThK3/</t>
  </si>
  <si>
    <t xml:space="preserve">대구 (경북대·동성로·대봉동)</t>
  </si>
  <si>
    <t xml:space="preserve">복수 9곳 (석정관, 마라도생굴구이, 양지포차, 이자카야보우, 팀스쿠치나, 8번식당 본점, 안동막창 대구본점, 요주본점, 신세계 양꼬치)</t>
  </si>
  <si>
    <t xml:space="preserve">9곳 상호 (+일부 인스타 계정)</t>
  </si>
  <si>
    <t xml:space="preserve">곳별 지역 은어: 동성로, 경대정문, 대봉동, 경대 북문 / 전체: 대구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</si>
  <si>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여러 곳 모음 </t>
    </r>
    <r>
      <rPr>
        <sz val="10"/>
        <color rgb="FF0000FF"/>
        <rFont val="Arial"/>
        <family val="0"/>
        <charset val="1"/>
      </rPr>
      <t xml:space="preserve">9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대구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주소 없음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캡션에 상호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추천 메뉴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곳별 지역 힌트는 있으나 주소 없음</t>
    </r>
    <r>
      <rPr>
        <sz val="10"/>
        <color rgb="FF0000FF"/>
        <rFont val="Arial"/>
        <family val="0"/>
        <charset val="1"/>
      </rPr>
      <t xml:space="preserve">. 4</t>
    </r>
    <r>
      <rPr>
        <sz val="10"/>
        <color rgb="FF0000FF"/>
        <rFont val="Noto Sans CJK SC"/>
        <family val="2"/>
      </rPr>
      <t xml:space="preserve">곳 표본 확인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상호만 검색</t>
    </r>
    <r>
      <rPr>
        <sz val="10"/>
        <color rgb="FF0000FF"/>
        <rFont val="Arial"/>
        <family val="0"/>
        <charset val="1"/>
      </rPr>
      <t xml:space="preserve">): 8</t>
    </r>
    <r>
      <rPr>
        <sz val="10"/>
        <color rgb="FF0000FF"/>
        <rFont val="Noto Sans CJK SC"/>
        <family val="2"/>
      </rPr>
      <t xml:space="preserve">번식당 본점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) / </t>
    </r>
    <r>
      <rPr>
        <sz val="10"/>
        <color rgb="FF0000FF"/>
        <rFont val="Noto Sans CJK SC"/>
        <family val="2"/>
      </rPr>
      <t xml:space="preserve">마라도생굴구이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건 중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경대정문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힌트에 맞는 대현점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북구 경대로</t>
    </r>
    <r>
      <rPr>
        <sz val="10"/>
        <color rgb="FF0000FF"/>
        <rFont val="Arial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이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본점이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신세계 양꼬치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위가 광주 지점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대구 지점은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위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양지포차 전국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대구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위는 달서구인데 캡션 힌트 없어 정답 확정 불가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지역 힌트가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경대정문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처럼 줄임말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은어라 주소 문자열과 직접 비교 불가 → 지역명 정규화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경대→경북대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대현동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경대로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필요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체인 지점 구분이 핵심 난제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순위 칸은 확인한 곳 중 최저 순위</t>
    </r>
    <r>
      <rPr>
        <sz val="10"/>
        <color rgb="FF0000FF"/>
        <rFont val="Arial"/>
        <family val="0"/>
        <charset val="1"/>
      </rPr>
      <t xml:space="preserve">(3). | Google </t>
    </r>
    <r>
      <rPr>
        <sz val="10"/>
        <color rgb="FF0000FF"/>
        <rFont val="Noto Sans CJK SC"/>
        <family val="2"/>
      </rPr>
      <t xml:space="preserve">표본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: 8</t>
    </r>
    <r>
      <rPr>
        <sz val="10"/>
        <color rgb="FF0000FF"/>
        <rFont val="Noto Sans CJK SC"/>
        <family val="2"/>
      </rPr>
      <t xml:space="preserve">번식당 </t>
    </r>
    <r>
      <rPr>
        <sz val="10"/>
        <color rgb="FF0000FF"/>
        <rFont val="Arial"/>
        <family val="0"/>
        <charset val="1"/>
      </rPr>
      <t xml:space="preserve">4.2(808), </t>
    </r>
    <r>
      <rPr>
        <sz val="10"/>
        <color rgb="FF0000FF"/>
        <rFont val="Noto Sans CJK SC"/>
        <family val="2"/>
      </rPr>
      <t xml:space="preserve">영업시간</t>
    </r>
    <r>
      <rPr>
        <sz val="10"/>
        <color rgb="FF0000FF"/>
        <rFont val="Arial"/>
        <family val="0"/>
        <charset val="1"/>
      </rPr>
      <t xml:space="preserve">·$$ </t>
    </r>
    <r>
      <rPr>
        <sz val="10"/>
        <color rgb="FF0000FF"/>
        <rFont val="Noto Sans CJK SC"/>
        <family val="2"/>
      </rPr>
      <t xml:space="preserve">있음</t>
    </r>
  </si>
  <si>
    <t xml:space="preserve">https://www.instagram.com/p/DdyZ8kHmEys/</t>
  </si>
  <si>
    <t xml:space="preserve">지역 정보 없음</t>
  </si>
  <si>
    <t xml:space="preserve">고봉당 (체인, 지점 특정 불가)</t>
  </si>
  <si>
    <t xml:space="preserve">고봉당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</si>
  <si>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체인 브랜드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지역 정보 없음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캡션에 메뉴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치즈폭탄 등갈비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주먹밥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인절미 떡구이</t>
    </r>
    <r>
      <rPr>
        <sz val="10"/>
        <color rgb="FF0000FF"/>
        <rFont val="Arial"/>
        <family val="0"/>
        <charset val="1"/>
      </rPr>
      <t xml:space="preserve">)·</t>
    </r>
    <r>
      <rPr>
        <sz val="10"/>
        <color rgb="FF0000FF"/>
        <rFont val="Noto Sans CJK SC"/>
        <family val="2"/>
      </rPr>
      <t xml:space="preserve">맛 묘사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추천 이유는 풍부하나 장소 정보는 </t>
    </r>
    <r>
      <rPr>
        <sz val="10"/>
        <color rgb="FF0000FF"/>
        <rFont val="Arial"/>
        <family val="0"/>
        <charset val="1"/>
      </rPr>
      <t xml:space="preserve">"▫️</t>
    </r>
    <r>
      <rPr>
        <sz val="10"/>
        <color rgb="FF0000FF"/>
        <rFont val="Noto Sans CJK SC"/>
        <family val="2"/>
      </rPr>
      <t xml:space="preserve">상호</t>
    </r>
    <r>
      <rPr>
        <sz val="10"/>
        <color rgb="FF0000FF"/>
        <rFont val="Arial"/>
        <family val="0"/>
        <charset val="1"/>
      </rPr>
      <t xml:space="preserve">: #</t>
    </r>
    <r>
      <rPr>
        <sz val="10"/>
        <color rgb="FF0000FF"/>
        <rFont val="Noto Sans CJK SC"/>
        <family val="2"/>
      </rPr>
      <t xml:space="preserve">고봉당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뿐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위치 태그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카카오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고봉당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검색 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곳 모두 서울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안양 지점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용산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혜화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범계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논현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홍대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을지로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문정</t>
    </r>
    <r>
      <rPr>
        <sz val="10"/>
        <color rgb="FF0000FF"/>
        <rFont val="Arial"/>
        <family val="0"/>
        <charset val="1"/>
      </rPr>
      <t xml:space="preserve">) → </t>
    </r>
    <r>
      <rPr>
        <sz val="10"/>
        <color rgb="FF0000FF"/>
        <rFont val="Noto Sans CJK SC"/>
        <family val="2"/>
      </rPr>
      <t xml:space="preserve">어느 지점인지 특정 불가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공유 링크에 </t>
    </r>
    <r>
      <rPr>
        <sz val="10"/>
        <color rgb="FF0000FF"/>
        <rFont val="Arial"/>
        <family val="0"/>
        <charset val="1"/>
      </rPr>
      <t xml:space="preserve">img_index=3(3</t>
    </r>
    <r>
      <rPr>
        <sz val="10"/>
        <color rgb="FF0000FF"/>
        <rFont val="Noto Sans CJK SC"/>
        <family val="2"/>
      </rPr>
      <t xml:space="preserve">번째 이미지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포함 — 해당 이미지는 음식 사진</t>
    </r>
    <r>
      <rPr>
        <sz val="10"/>
        <color rgb="FF0000FF"/>
        <rFont val="Arial"/>
        <family val="0"/>
        <charset val="1"/>
      </rPr>
      <t xml:space="preserve">+</t>
    </r>
    <r>
      <rPr>
        <sz val="10"/>
        <color rgb="FF0000FF"/>
        <rFont val="Noto Sans CJK SC"/>
        <family val="2"/>
      </rPr>
      <t xml:space="preserve">자막으로 지점 단서 없음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브랜드 홍보형 콘텐츠로 보임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상호 단서는 있으나 장소 특정 불가라 단서 추출 </t>
    </r>
    <r>
      <rPr>
        <sz val="10"/>
        <color rgb="FF0000FF"/>
        <rFont val="Arial"/>
        <family val="0"/>
        <charset val="1"/>
      </rPr>
      <t xml:space="preserve">N, </t>
    </r>
    <r>
      <rPr>
        <sz val="10"/>
        <color rgb="FF0000FF"/>
        <rFont val="Noto Sans CJK SC"/>
        <family val="2"/>
      </rPr>
      <t xml:space="preserve">순위 비움</t>
    </r>
    <r>
      <rPr>
        <sz val="10"/>
        <color rgb="FF0000FF"/>
        <rFont val="Arial"/>
        <family val="0"/>
        <charset val="1"/>
      </rPr>
      <t xml:space="preserve">.</t>
    </r>
  </si>
  <si>
    <t xml:space="preserve">https://www.instagram.com/reel/DaVBs5ABuMS/</t>
  </si>
  <si>
    <t xml:space="preserve">서울 망원(실제 성산동)</t>
  </si>
  <si>
    <t xml:space="preserve">나랑가</t>
  </si>
  <si>
    <t xml:space="preserve">서울 마포구 성미산로 71 1층 (성산동 231-17)</t>
  </si>
  <si>
    <t xml:space="preserve">망원동, 마포구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</si>
  <si>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한 곳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서술형 개인 후기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캡션이 일기체 후기이고 상호는 본문 중 </t>
    </r>
    <r>
      <rPr>
        <sz val="10"/>
        <color rgb="FF0000FF"/>
        <rFont val="Arial"/>
        <family val="0"/>
        <charset val="1"/>
      </rPr>
      <t xml:space="preserve">"📍</t>
    </r>
    <r>
      <rPr>
        <sz val="10"/>
        <color rgb="FF0000FF"/>
        <rFont val="Noto Sans CJK SC"/>
        <family val="2"/>
      </rPr>
      <t xml:space="preserve">나랑가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로 등장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메뉴별 가격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도로 </t>
    </r>
    <r>
      <rPr>
        <sz val="10"/>
        <color rgb="FF0000FF"/>
        <rFont val="Arial"/>
        <family val="0"/>
        <charset val="1"/>
      </rPr>
      <t xml:space="preserve">32,000 / </t>
    </r>
    <r>
      <rPr>
        <sz val="10"/>
        <color rgb="FF0000FF"/>
        <rFont val="Noto Sans CJK SC"/>
        <family val="2"/>
      </rPr>
      <t xml:space="preserve">오도로 </t>
    </r>
    <r>
      <rPr>
        <sz val="10"/>
        <color rgb="FF0000FF"/>
        <rFont val="Arial"/>
        <family val="0"/>
        <charset val="1"/>
      </rPr>
      <t xml:space="preserve">38,000 / </t>
    </r>
    <r>
      <rPr>
        <sz val="10"/>
        <color rgb="FF0000FF"/>
        <rFont val="Noto Sans CJK SC"/>
        <family val="2"/>
      </rPr>
      <t xml:space="preserve">특도로 </t>
    </r>
    <r>
      <rPr>
        <sz val="10"/>
        <color rgb="FF0000FF"/>
        <rFont val="Arial"/>
        <family val="0"/>
        <charset val="1"/>
      </rPr>
      <t xml:space="preserve">42,000</t>
    </r>
    <r>
      <rPr>
        <sz val="10"/>
        <color rgb="FF0000FF"/>
        <rFont val="Noto Sans CJK SC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과 웨이팅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대기실 정보까지 있음 — 가격이 나온 첫 샘플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위치 태그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망원</t>
    </r>
    <r>
      <rPr>
        <sz val="10"/>
        <color rgb="FF0000FF"/>
        <rFont val="Arial"/>
        <family val="0"/>
        <charset val="1"/>
      </rPr>
      <t xml:space="preserve">". </t>
    </r>
    <r>
      <rPr>
        <sz val="10"/>
        <color rgb="FF0000FF"/>
        <rFont val="Noto Sans CJK SC"/>
        <family val="2"/>
      </rPr>
      <t xml:space="preserve">카카오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나랑가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검색 시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위는 장성군 협동조합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단체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정답은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위 → 음식점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카페 카테고리 필터로 해결 가능</t>
    </r>
    <r>
      <rPr>
        <sz val="10"/>
        <color rgb="FF0000FF"/>
        <rFont val="Arial"/>
        <family val="0"/>
        <charset val="1"/>
      </rPr>
      <t xml:space="preserve">. "</t>
    </r>
    <r>
      <rPr>
        <sz val="10"/>
        <color rgb="FF0000FF"/>
        <rFont val="Noto Sans CJK SC"/>
        <family val="2"/>
      </rPr>
      <t xml:space="preserve">망원 나랑가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검색 시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실제 지번은 성산동이지만 카카오가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망원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지역어로 찾아줌 → 동 이름 문자열 비교가 아니라 카카오 검색의 지역 인식에 맡기는 편이 나은 사례</t>
    </r>
    <r>
      <rPr>
        <sz val="10"/>
        <color rgb="FF0000FF"/>
        <rFont val="Arial"/>
        <family val="0"/>
        <charset val="1"/>
      </rPr>
      <t xml:space="preserve">. | Google: </t>
    </r>
    <r>
      <rPr>
        <sz val="10"/>
        <color rgb="FF0000FF"/>
        <rFont val="Noto Sans CJK SC"/>
        <family val="2"/>
      </rPr>
      <t xml:space="preserve">검색 결과 없음</t>
    </r>
  </si>
  <si>
    <t xml:space="preserve">https://www.instagram.com/p/DXijTeAAWME/</t>
  </si>
  <si>
    <t xml:space="preserve">광주 전역</t>
  </si>
  <si>
    <t xml:space="preserve">복수 52곳 (캐러셀 이미지, 2번째 이미지: 산수쌈밥 / 서울곱창 / 행복담 / 부부더상록)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</si>
  <si>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번째 이미지 표본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서울곱창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광주 광산구 송정로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번길 </t>
    </r>
    <r>
      <rPr>
        <sz val="10"/>
        <color rgb="FF0000FF"/>
        <rFont val="Arial"/>
        <family val="0"/>
        <charset val="1"/>
      </rPr>
      <t xml:space="preserve">71 1</t>
    </r>
    <r>
      <rPr>
        <sz val="10"/>
        <color rgb="FF0000FF"/>
        <rFont val="Noto Sans CJK SC"/>
        <family val="2"/>
      </rPr>
      <t xml:space="preserve">층</t>
    </r>
  </si>
  <si>
    <t xml:space="preserve">캡션: 영미오리탕, 화정떡갈비 2곳만</t>
  </si>
  <si>
    <t xml:space="preserve">광주, 동명동, 수완지구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</si>
  <si>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여러 곳 모음 </t>
    </r>
    <r>
      <rPr>
        <sz val="10"/>
        <color rgb="FF0000FF"/>
        <rFont val="Arial"/>
        <family val="0"/>
        <charset val="1"/>
      </rPr>
      <t xml:space="preserve">52</t>
    </r>
    <r>
      <rPr>
        <sz val="10"/>
        <color rgb="FF0000FF"/>
        <rFont val="Noto Sans CJK SC"/>
        <family val="2"/>
      </rPr>
      <t xml:space="preserve">곳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정보가 캐러셀 이미지에만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매체 계정</t>
    </r>
    <r>
      <rPr>
        <sz val="10"/>
        <color rgb="FF0000FF"/>
        <rFont val="Arial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캡션은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광주 맛집 </t>
    </r>
    <r>
      <rPr>
        <sz val="10"/>
        <color rgb="FF0000FF"/>
        <rFont val="Arial"/>
        <family val="0"/>
        <charset val="1"/>
      </rPr>
      <t xml:space="preserve">52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소개문과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곳 이름뿐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각 이미지에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곳씩 상호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짧은 도로명 주소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예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동계로 </t>
    </r>
    <r>
      <rPr>
        <sz val="10"/>
        <color rgb="FF0000FF"/>
        <rFont val="Arial"/>
        <family val="0"/>
        <charset val="1"/>
      </rPr>
      <t xml:space="preserve">11, </t>
    </r>
    <r>
      <rPr>
        <sz val="10"/>
        <color rgb="FF0000FF"/>
        <rFont val="Noto Sans CJK SC"/>
        <family val="2"/>
      </rPr>
      <t xml:space="preserve">송정로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번길 </t>
    </r>
    <r>
      <rPr>
        <sz val="10"/>
        <color rgb="FF0000FF"/>
        <rFont val="Arial"/>
        <family val="0"/>
        <charset val="1"/>
      </rPr>
      <t xml:space="preserve">71) + </t>
    </r>
    <r>
      <rPr>
        <sz val="10"/>
        <color rgb="FF0000FF"/>
        <rFont val="Noto Sans CJK SC"/>
        <family val="2"/>
      </rPr>
      <t xml:space="preserve">한 줄 설명이 인쇄돼 있음 → 이미지 </t>
    </r>
    <r>
      <rPr>
        <sz val="10"/>
        <color rgb="FF0000FF"/>
        <rFont val="Arial"/>
        <family val="0"/>
        <charset val="1"/>
      </rPr>
      <t xml:space="preserve">OCR </t>
    </r>
    <r>
      <rPr>
        <sz val="10"/>
        <color rgb="FF0000FF"/>
        <rFont val="Noto Sans CJK SC"/>
        <family val="2"/>
      </rPr>
      <t xml:space="preserve">필요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커버가 아니라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번째 이후 이미지</t>
    </r>
    <r>
      <rPr>
        <sz val="10"/>
        <color rgb="FF0000FF"/>
        <rFont val="Arial"/>
        <family val="0"/>
        <charset val="1"/>
      </rPr>
      <t xml:space="preserve">). </t>
    </r>
    <r>
      <rPr>
        <sz val="10"/>
        <color rgb="FF0000FF"/>
        <rFont val="Noto Sans CJK SC"/>
        <family val="2"/>
      </rPr>
      <t xml:space="preserve">공유 링크의 </t>
    </r>
    <r>
      <rPr>
        <sz val="10"/>
        <color rgb="FF0000FF"/>
        <rFont val="Arial"/>
        <family val="0"/>
        <charset val="1"/>
      </rPr>
      <t xml:space="preserve">img_index=2</t>
    </r>
    <r>
      <rPr>
        <sz val="10"/>
        <color rgb="FF0000FF"/>
        <rFont val="Noto Sans CJK SC"/>
        <family val="2"/>
      </rPr>
      <t xml:space="preserve">가 사용자가 보던 이미지를 가리킴 → 그 이미지 우선 분석 가능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이미지 </t>
    </r>
    <r>
      <rPr>
        <sz val="10"/>
        <color rgb="FF0000FF"/>
        <rFont val="Arial"/>
        <family val="0"/>
        <charset val="1"/>
      </rPr>
      <t xml:space="preserve">alt </t>
    </r>
    <r>
      <rPr>
        <sz val="10"/>
        <color rgb="FF0000FF"/>
        <rFont val="Noto Sans CJK SC"/>
        <family val="2"/>
      </rPr>
      <t xml:space="preserve">텍스트는 비어 있음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표본 확인</t>
    </r>
    <r>
      <rPr>
        <sz val="10"/>
        <color rgb="FF0000FF"/>
        <rFont val="Arial"/>
        <family val="0"/>
        <charset val="1"/>
      </rPr>
      <t xml:space="preserve">: "</t>
    </r>
    <r>
      <rPr>
        <sz val="10"/>
        <color rgb="FF0000FF"/>
        <rFont val="Noto Sans CJK SC"/>
        <family val="2"/>
      </rPr>
      <t xml:space="preserve">서울곱창</t>
    </r>
    <r>
      <rPr>
        <sz val="10"/>
        <color rgb="FF0000FF"/>
        <rFont val="Arial"/>
        <family val="0"/>
        <charset val="1"/>
      </rPr>
      <t xml:space="preserve">" </t>
    </r>
    <r>
      <rPr>
        <sz val="10"/>
        <color rgb="FF0000FF"/>
        <rFont val="Noto Sans CJK SC"/>
        <family val="2"/>
      </rPr>
      <t xml:space="preserve">상호만 검색 시 전국 </t>
    </r>
    <r>
      <rPr>
        <sz val="10"/>
        <color rgb="FF0000FF"/>
        <rFont val="Arial"/>
        <family val="0"/>
        <charset val="1"/>
      </rPr>
      <t xml:space="preserve">1,566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광주만 걸러도 정답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번째</t>
    </r>
    <r>
      <rPr>
        <sz val="10"/>
        <color rgb="FF0000FF"/>
        <rFont val="Arial"/>
        <family val="0"/>
        <charset val="1"/>
      </rPr>
      <t xml:space="preserve">) → "</t>
    </r>
    <r>
      <rPr>
        <sz val="10"/>
        <color rgb="FF0000FF"/>
        <rFont val="Noto Sans CJK SC"/>
        <family val="2"/>
      </rPr>
      <t xml:space="preserve">광주 송정로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번길 </t>
    </r>
    <r>
      <rPr>
        <sz val="10"/>
        <color rgb="FF0000FF"/>
        <rFont val="Arial"/>
        <family val="0"/>
        <charset val="1"/>
      </rPr>
      <t xml:space="preserve">71" </t>
    </r>
    <r>
      <rPr>
        <sz val="10"/>
        <color rgb="FF0000FF"/>
        <rFont val="Noto Sans CJK SC"/>
        <family val="2"/>
      </rPr>
      <t xml:space="preserve">주소 검색 시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흔한 상호는 </t>
    </r>
    <r>
      <rPr>
        <sz val="10"/>
        <color rgb="FF0000FF"/>
        <rFont val="Arial"/>
        <family val="0"/>
        <charset val="1"/>
      </rPr>
      <t xml:space="preserve">OCR</t>
    </r>
    <r>
      <rPr>
        <sz val="10"/>
        <color rgb="FF0000FF"/>
        <rFont val="Noto Sans CJK SC"/>
        <family val="2"/>
      </rPr>
      <t xml:space="preserve">로 얻은 주소로 검색해야 함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사용자 저장함에 실제 저장된 게시물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북마크 표시 확인</t>
    </r>
    <r>
      <rPr>
        <sz val="10"/>
        <color rgb="FF0000FF"/>
        <rFont val="Arial"/>
        <family val="0"/>
        <charset val="1"/>
      </rPr>
      <t xml:space="preserve">). | Google </t>
    </r>
    <r>
      <rPr>
        <sz val="10"/>
        <color rgb="FF0000FF"/>
        <rFont val="Noto Sans CJK SC"/>
        <family val="2"/>
      </rPr>
      <t xml:space="preserve">표본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곳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서울곱창 </t>
    </r>
    <r>
      <rPr>
        <sz val="10"/>
        <color rgb="FF0000FF"/>
        <rFont val="Arial"/>
        <family val="0"/>
        <charset val="1"/>
      </rPr>
      <t xml:space="preserve">4.0(834), </t>
    </r>
    <r>
      <rPr>
        <sz val="10"/>
        <color rgb="FF0000FF"/>
        <rFont val="Noto Sans CJK SC"/>
        <family val="2"/>
      </rPr>
      <t xml:space="preserve">영업 </t>
    </r>
    <r>
      <rPr>
        <sz val="10"/>
        <color rgb="FF0000FF"/>
        <rFont val="Arial"/>
        <family val="0"/>
        <charset val="1"/>
      </rPr>
      <t xml:space="preserve">10:30–21:00, $$</t>
    </r>
  </si>
  <si>
    <t xml:space="preserve">https://www.instagram.com/reel/DXYmHpKCdSC/</t>
  </si>
  <si>
    <t xml:space="preserve">광주 광산구 도산동(송정)</t>
  </si>
  <si>
    <t xml:space="preserve">코끼리생막창</t>
  </si>
  <si>
    <t xml:space="preserve">광주 광산구 남동길30번길 43 1층</t>
  </si>
  <si>
    <t xml:space="preserve">[도산동] 광주 광산구 남동길30번길 43, 송정</t>
  </si>
  <si>
    <r>
      <rPr>
        <sz val="10"/>
        <color rgb="FF0000FF"/>
        <rFont val="Arial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유형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한 곳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정형 캡션</t>
    </r>
    <r>
      <rPr>
        <sz val="10"/>
        <color rgb="FF0000FF"/>
        <rFont val="Arial"/>
        <family val="0"/>
        <charset val="1"/>
      </rPr>
      <t xml:space="preserve">(Information </t>
    </r>
    <r>
      <rPr>
        <sz val="10"/>
        <color rgb="FF0000FF"/>
        <rFont val="Noto Sans CJK SC"/>
        <family val="2"/>
      </rPr>
      <t xml:space="preserve">블록</t>
    </r>
    <r>
      <rPr>
        <sz val="10"/>
        <color rgb="FF0000FF"/>
        <rFont val="Arial"/>
        <family val="0"/>
        <charset val="1"/>
      </rPr>
      <t xml:space="preserve">)] </t>
    </r>
    <r>
      <rPr>
        <sz val="10"/>
        <color rgb="FF0000FF"/>
        <rFont val="Noto Sans CJK SC"/>
        <family val="2"/>
      </rPr>
      <t xml:space="preserve">캡션에 주소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영업시간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가격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생막창 </t>
    </r>
    <r>
      <rPr>
        <sz val="10"/>
        <color rgb="FF0000FF"/>
        <rFont val="Arial"/>
        <family val="0"/>
        <charset val="1"/>
      </rPr>
      <t xml:space="preserve">17,000, </t>
    </r>
    <r>
      <rPr>
        <sz val="10"/>
        <color rgb="FF0000FF"/>
        <rFont val="Noto Sans CJK SC"/>
        <family val="2"/>
      </rPr>
      <t xml:space="preserve">점심특선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)·</t>
    </r>
    <r>
      <rPr>
        <sz val="10"/>
        <color rgb="FF0000FF"/>
        <rFont val="Noto Sans CJK SC"/>
        <family val="2"/>
      </rPr>
      <t xml:space="preserve">유아의자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주차 없음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셀프바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묵은지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명이나물</t>
    </r>
    <r>
      <rPr>
        <sz val="10"/>
        <color rgb="FF0000FF"/>
        <rFont val="Arial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까지 정리됨 — 지금까지 가장 구조화된 캡션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카카오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코끼리생막창</t>
    </r>
    <r>
      <rPr>
        <sz val="10"/>
        <color rgb="FF0000FF"/>
        <rFont val="Arial"/>
        <family val="0"/>
        <charset val="1"/>
      </rPr>
      <t xml:space="preserve">" 1</t>
    </r>
    <r>
      <rPr>
        <sz val="10"/>
        <color rgb="FF0000FF"/>
        <rFont val="Noto Sans CJK SC"/>
        <family val="2"/>
      </rPr>
      <t xml:space="preserve">위</t>
    </r>
    <r>
      <rPr>
        <sz val="10"/>
        <color rgb="FF0000FF"/>
        <rFont val="Arial"/>
        <family val="0"/>
        <charset val="1"/>
      </rPr>
      <t xml:space="preserve">(2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주소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영업시간 일치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유아의자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주차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점심특선처럼 카카오에 잘 안 나오는 실용 정보가 캡션에만 있음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이 계정은 사용자가 팔로우 중이며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번 샘플</t>
    </r>
    <r>
      <rPr>
        <sz val="10"/>
        <color rgb="FF0000FF"/>
        <rFont val="Arial"/>
        <family val="0"/>
        <charset val="1"/>
      </rPr>
      <t xml:space="preserve">(bbo.log) </t>
    </r>
    <r>
      <rPr>
        <sz val="10"/>
        <color rgb="FF0000FF"/>
        <rFont val="Noto Sans CJK SC"/>
        <family val="2"/>
      </rPr>
      <t xml:space="preserve">계정이 좋아요 누름 — 표본이 같은 광주 맛집 계정 네트워크에 몰려 있음</t>
    </r>
    <r>
      <rPr>
        <sz val="10"/>
        <color rgb="FF0000FF"/>
        <rFont val="Arial"/>
        <family val="0"/>
        <charset val="1"/>
      </rPr>
      <t xml:space="preserve">. | Google: 3.8</t>
    </r>
    <r>
      <rPr>
        <sz val="10"/>
        <color rgb="FF0000FF"/>
        <rFont val="Noto Sans CJK SC"/>
        <family val="2"/>
      </rPr>
      <t xml:space="preserve">점</t>
    </r>
    <r>
      <rPr>
        <sz val="10"/>
        <color rgb="FF0000FF"/>
        <rFont val="Arial"/>
        <family val="0"/>
        <charset val="1"/>
      </rPr>
      <t xml:space="preserve">(9), </t>
    </r>
    <r>
      <rPr>
        <sz val="10"/>
        <color rgb="FF0000FF"/>
        <rFont val="Noto Sans CJK SC"/>
        <family val="2"/>
      </rPr>
      <t xml:space="preserve">영업 </t>
    </r>
    <r>
      <rPr>
        <sz val="10"/>
        <color rgb="FF0000FF"/>
        <rFont val="Arial"/>
        <family val="0"/>
        <charset val="1"/>
      </rPr>
      <t xml:space="preserve">11:00–21:30 (</t>
    </r>
    <r>
      <rPr>
        <sz val="10"/>
        <color rgb="FF0000FF"/>
        <rFont val="Noto Sans CJK SC"/>
        <family val="2"/>
      </rPr>
      <t xml:space="preserve">캡션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카카오 </t>
    </r>
    <r>
      <rPr>
        <sz val="10"/>
        <color rgb="FF0000FF"/>
        <rFont val="Arial"/>
        <family val="0"/>
        <charset val="1"/>
      </rPr>
      <t xml:space="preserve">23:00</t>
    </r>
    <r>
      <rPr>
        <sz val="10"/>
        <color rgb="FF0000FF"/>
        <rFont val="Noto Sans CJK SC"/>
        <family val="2"/>
      </rPr>
      <t xml:space="preserve">과 다름</t>
    </r>
    <r>
      <rPr>
        <sz val="10"/>
        <color rgb="FF0000FF"/>
        <rFont val="Arial"/>
        <family val="0"/>
        <charset val="1"/>
      </rPr>
      <t xml:space="preserve">), $$</t>
    </r>
  </si>
  <si>
    <t xml:space="preserve">캡션 복사 테스트 — 대체 경로(캡션 붙여넣기)가 성립하는지 확인</t>
  </si>
  <si>
    <t xml:space="preserve">기기 / OS</t>
  </si>
  <si>
    <t xml:space="preserve">인스타 앱 버전</t>
  </si>
  <si>
    <t xml:space="preserve">콘텐츠 유형</t>
  </si>
  <si>
    <t xml:space="preserve">복사 가능</t>
  </si>
  <si>
    <t xml:space="preserve">복사 방법</t>
  </si>
  <si>
    <t xml:space="preserve">iOS</t>
  </si>
  <si>
    <t xml:space="preserve">Android</t>
  </si>
  <si>
    <t xml:space="preserve">복사 가능: Y = 앱 안에서 바로 복사됨 · 부분 = 우회(링크 공유 후 웹에서 복사 등)로만 가능 · N = 불가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</si>
</sst>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6"/>
      <color rgb="FF1F3A5F"/>
      <name val="Noto Sans CJK SC"/>
      <family val="2"/>
    </font>
    <font>
      <sz val="10"/>
      <color rgb="FF555555"/>
      <name val="Noto Sans CJK SC"/>
      <family val="2"/>
      <charset val="1"/>
    </font>
    <font>
      <b val="true"/>
      <sz val="11"/>
      <color rgb="FF1F3A5F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color rgb="FF1F3A5F"/>
      <name val="Noto Sans CJK SC"/>
      <family val="2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1F3A5F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555555"/>
      <name val="Arial"/>
      <family val="0"/>
      <charset val="1"/>
    </font>
    <font>
      <sz val="10"/>
      <color rgb="FF555555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1F3A5F"/>
      <name val="Noto Sans CJK SC"/>
      <family val="2"/>
      <charset val="1"/>
    </font>
    <font>
      <sz val="10"/>
      <color rgb="FF999999"/>
      <name val="Arial"/>
      <family val="0"/>
      <charset val="1"/>
    </font>
    <font>
      <i val="true"/>
      <sz val="10"/>
      <color rgb="FF777777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i val="true"/>
      <sz val="10"/>
      <color rgb="FF777777"/>
      <name val="Arial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6CC"/>
        <bgColor rgb="FFEEEEEE"/>
      </patternFill>
    </fill>
    <fill>
      <patternFill patternType="solid">
        <fgColor rgb="FF1F3A5F"/>
        <bgColor rgb="FF2E5A88"/>
      </patternFill>
    </fill>
    <fill>
      <patternFill patternType="solid">
        <fgColor rgb="FF2E5A88"/>
        <bgColor rgb="FF555555"/>
      </patternFill>
    </fill>
    <fill>
      <patternFill patternType="solid">
        <fgColor rgb="FF6B4E9B"/>
        <bgColor rgb="FF555555"/>
      </patternFill>
    </fill>
    <fill>
      <patternFill patternType="solid">
        <fgColor rgb="FF2F7D6D"/>
        <bgColor rgb="FF008080"/>
      </patternFill>
    </fill>
    <fill>
      <patternFill patternType="solid">
        <fgColor rgb="FFB5651D"/>
        <bgColor rgb="FF8A3B3B"/>
      </patternFill>
    </fill>
    <fill>
      <patternFill patternType="solid">
        <fgColor rgb="FF8A3B3B"/>
        <bgColor rgb="FF993366"/>
      </patternFill>
    </fill>
    <fill>
      <patternFill patternType="solid">
        <fgColor rgb="FF555555"/>
        <bgColor rgb="FF6B4E9B"/>
      </patternFill>
    </fill>
    <fill>
      <patternFill patternType="solid">
        <fgColor rgb="FFEEEEEE"/>
        <bgColor rgb="FFD9F2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2"/>
      </left>
      <right style="thin">
        <color rgb="FFC8CCD2"/>
      </right>
      <top style="thin">
        <color rgb="FFC8CCD2"/>
      </top>
      <bottom style="thin">
        <color rgb="FFC8CC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F2E3"/>
        </patternFill>
      </fill>
    </dxf>
    <dxf>
      <fill>
        <patternFill>
          <bgColor rgb="FFF8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C8CCD2"/>
      <rgbColor rgb="FF777777"/>
      <rgbColor rgb="FF9999FF"/>
      <rgbColor rgb="FF8A3B3B"/>
      <rgbColor rgb="FFFFF6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8DADA"/>
      <rgbColor rgb="FF3366FF"/>
      <rgbColor rgb="FF33CCCC"/>
      <rgbColor rgb="FF99CC00"/>
      <rgbColor rgb="FFFFCC00"/>
      <rgbColor rgb="FFFF9900"/>
      <rgbColor rgb="FFFF6600"/>
      <rgbColor rgb="FF6B4E9B"/>
      <rgbColor rgb="FF999999"/>
      <rgbColor rgb="FF1F3A5F"/>
      <rgbColor rgb="FF2F7D6D"/>
      <rgbColor rgb="FF003300"/>
      <rgbColor rgb="FF333300"/>
      <rgbColor rgb="FF993300"/>
      <rgbColor rgb="FF993366"/>
      <rgbColor rgb="FF2E5A8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90"/>
  </cols>
  <sheetData>
    <row r="1" customFormat="false" ht="23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  <c r="C5" s="6" t="s">
        <v>4</v>
      </c>
    </row>
    <row r="6" customFormat="false" ht="15" hidden="false" customHeight="true" outlineLevel="0" collapsed="false">
      <c r="B6" s="5" t="s">
        <v>5</v>
      </c>
      <c r="C6" s="6" t="s">
        <v>6</v>
      </c>
    </row>
    <row r="7" customFormat="false" ht="15" hidden="false" customHeight="true" outlineLevel="0" collapsed="false">
      <c r="B7" s="5" t="s">
        <v>7</v>
      </c>
      <c r="C7" s="6" t="s">
        <v>8</v>
      </c>
    </row>
    <row r="9" customFormat="false" ht="15" hidden="false" customHeight="true" outlineLevel="0" collapsed="false">
      <c r="B9" s="4" t="s">
        <v>9</v>
      </c>
    </row>
    <row r="10" customFormat="false" ht="15" hidden="false" customHeight="true" outlineLevel="0" collapsed="false">
      <c r="B10" s="7" t="s">
        <v>10</v>
      </c>
      <c r="C10" s="6" t="s">
        <v>11</v>
      </c>
    </row>
    <row r="11" customFormat="false" ht="15" hidden="false" customHeight="true" outlineLevel="0" collapsed="false">
      <c r="B11" s="7" t="s">
        <v>12</v>
      </c>
      <c r="C11" s="8" t="s">
        <v>13</v>
      </c>
    </row>
    <row r="12" customFormat="false" ht="15" hidden="false" customHeight="true" outlineLevel="0" collapsed="false">
      <c r="B12" s="7" t="s">
        <v>14</v>
      </c>
      <c r="C12" s="6" t="s">
        <v>15</v>
      </c>
    </row>
    <row r="14" customFormat="false" ht="15" hidden="false" customHeight="true" outlineLevel="0" collapsed="false">
      <c r="B14" s="4" t="s">
        <v>16</v>
      </c>
    </row>
    <row r="15" customFormat="false" ht="15" hidden="false" customHeight="true" outlineLevel="0" collapsed="false">
      <c r="B15" s="9" t="s">
        <v>17</v>
      </c>
      <c r="C15" s="6" t="s">
        <v>18</v>
      </c>
    </row>
    <row r="16" customFormat="false" ht="15" hidden="false" customHeight="true" outlineLevel="0" collapsed="false">
      <c r="B16" s="5" t="s">
        <v>19</v>
      </c>
      <c r="C16" s="6" t="s">
        <v>20</v>
      </c>
    </row>
    <row r="17" customFormat="false" ht="15" hidden="false" customHeight="true" outlineLevel="0" collapsed="false">
      <c r="B17" s="7" t="s">
        <v>21</v>
      </c>
      <c r="C17" s="6" t="s">
        <v>22</v>
      </c>
    </row>
    <row r="18" customFormat="false" ht="15" hidden="false" customHeight="true" outlineLevel="0" collapsed="false">
      <c r="B18" s="7" t="s">
        <v>23</v>
      </c>
      <c r="C18" s="6" t="s">
        <v>24</v>
      </c>
    </row>
    <row r="19" customFormat="false" ht="15" hidden="false" customHeight="true" outlineLevel="0" collapsed="false">
      <c r="B19" s="5" t="s">
        <v>25</v>
      </c>
      <c r="C19" s="6" t="s">
        <v>26</v>
      </c>
    </row>
    <row r="20" customFormat="false" ht="29.25" hidden="false" customHeight="true" outlineLevel="0" collapsed="false">
      <c r="B20" s="7" t="s">
        <v>27</v>
      </c>
      <c r="C20" s="6" t="s">
        <v>28</v>
      </c>
    </row>
    <row r="22" customFormat="false" ht="15" hidden="false" customHeight="true" outlineLevel="0" collapsed="false">
      <c r="B22" s="4" t="s">
        <v>29</v>
      </c>
    </row>
    <row r="23" customFormat="false" ht="15" hidden="false" customHeight="true" outlineLevel="0" collapsed="false">
      <c r="B23" s="5" t="s">
        <v>30</v>
      </c>
      <c r="C23" s="6" t="s">
        <v>31</v>
      </c>
    </row>
    <row r="24" customFormat="false" ht="15" hidden="false" customHeight="true" outlineLevel="0" collapsed="false">
      <c r="B24" s="5" t="s">
        <v>32</v>
      </c>
      <c r="C24" s="6" t="s">
        <v>33</v>
      </c>
    </row>
    <row r="25" customFormat="false" ht="15" hidden="false" customHeight="true" outlineLevel="0" collapsed="false">
      <c r="B25" s="5" t="s">
        <v>34</v>
      </c>
      <c r="C25" s="6" t="s">
        <v>35</v>
      </c>
    </row>
    <row r="27" customFormat="false" ht="15" hidden="false" customHeight="true" outlineLevel="0" collapsed="false">
      <c r="B27" s="4" t="s">
        <v>36</v>
      </c>
    </row>
    <row r="28" customFormat="false" ht="15" hidden="false" customHeight="true" outlineLevel="0" collapsed="false">
      <c r="B28" s="7" t="s">
        <v>37</v>
      </c>
      <c r="C28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44"/>
  </cols>
  <sheetData>
    <row r="1" customFormat="false" ht="15.75" hidden="false" customHeight="true" outlineLevel="0" collapsed="false">
      <c r="A1" s="10" t="s">
        <v>39</v>
      </c>
    </row>
    <row r="2" customFormat="false" ht="15" hidden="false" customHeight="true" outlineLevel="0" collapsed="false">
      <c r="A2" s="3" t="s">
        <v>40</v>
      </c>
    </row>
    <row r="4" customFormat="false" ht="16.5" hidden="false" customHeight="true" outlineLevel="0" collapsed="false">
      <c r="A4" s="11" t="s">
        <v>41</v>
      </c>
    </row>
    <row r="5" customFormat="false" ht="15" hidden="false" customHeight="true" outlineLevel="0" collapsed="false">
      <c r="A5" s="12" t="s">
        <v>42</v>
      </c>
      <c r="B5" s="13" t="s">
        <v>43</v>
      </c>
      <c r="C5" s="13"/>
      <c r="D5" s="13"/>
      <c r="E5" s="13" t="s">
        <v>44</v>
      </c>
    </row>
    <row r="6" customFormat="false" ht="15" hidden="false" customHeight="true" outlineLevel="0" collapsed="false">
      <c r="A6" s="14" t="s">
        <v>45</v>
      </c>
      <c r="B6" s="15" t="n">
        <f aca="false">COUNTA(샘플데이터!$C$5:$C$34)</f>
        <v>13</v>
      </c>
      <c r="C6" s="16"/>
      <c r="D6" s="16"/>
      <c r="E6" s="17" t="s">
        <v>46</v>
      </c>
    </row>
    <row r="7" customFormat="false" ht="15" hidden="false" customHeight="true" outlineLevel="0" collapsed="false">
      <c r="A7" s="14" t="s">
        <v>47</v>
      </c>
      <c r="B7" s="18" t="n">
        <f aca="false">IF(B6=0,"",COUNTIF(샘플데이터!$D$5:$D$34,"릴스")/B6)</f>
        <v>0.769230769230769</v>
      </c>
      <c r="C7" s="16"/>
      <c r="D7" s="16"/>
      <c r="E7" s="19" t="s">
        <v>48</v>
      </c>
    </row>
    <row r="8" customFormat="false" ht="15" hidden="false" customHeight="true" outlineLevel="0" collapsed="false">
      <c r="A8" s="14" t="s">
        <v>49</v>
      </c>
      <c r="B8" s="18" t="n">
        <f aca="false">IF(B6=0,"",COUNTIF(샘플데이터!$E$5:$E$34,"소형")/B6)</f>
        <v>0.153846153846154</v>
      </c>
      <c r="C8" s="16"/>
      <c r="D8" s="16"/>
      <c r="E8" s="19" t="s">
        <v>50</v>
      </c>
    </row>
    <row r="9" customFormat="false" ht="15" hidden="false" customHeight="true" outlineLevel="0" collapsed="false">
      <c r="A9" s="14" t="s">
        <v>51</v>
      </c>
      <c r="B9" s="15" t="n">
        <f aca="false">COUNTIF(샘플데이터!$G$5:$G$34,"Y")</f>
        <v>0</v>
      </c>
      <c r="C9" s="16"/>
      <c r="D9" s="16"/>
      <c r="E9" s="19" t="s">
        <v>52</v>
      </c>
    </row>
    <row r="10" customFormat="false" ht="15" hidden="false" customHeight="true" outlineLevel="0" collapsed="false">
      <c r="A10" s="14" t="s">
        <v>53</v>
      </c>
      <c r="B10" s="15" t="str">
        <f aca="false">IFERROR(AVERAGE(샘플데이터!$J$5:$J$34),"")</f>
        <v/>
      </c>
      <c r="C10" s="16"/>
      <c r="D10" s="16"/>
      <c r="E10" s="17" t="s">
        <v>54</v>
      </c>
    </row>
    <row r="11" customFormat="false" ht="15" hidden="false" customHeight="true" outlineLevel="0" collapsed="false">
      <c r="A11" s="14" t="s">
        <v>55</v>
      </c>
      <c r="B11" s="20" t="str">
        <f aca="false">IFERROR(AVERAGE(샘플데이터!$K$5:$K$34),"")</f>
        <v/>
      </c>
      <c r="C11" s="16"/>
      <c r="D11" s="16"/>
      <c r="E11" s="17" t="s">
        <v>54</v>
      </c>
    </row>
    <row r="13" customFormat="false" ht="16.5" hidden="false" customHeight="true" outlineLevel="0" collapsed="false">
      <c r="A13" s="11" t="s">
        <v>56</v>
      </c>
    </row>
    <row r="14" customFormat="false" ht="15" hidden="false" customHeight="true" outlineLevel="0" collapsed="false">
      <c r="A14" s="12" t="s">
        <v>57</v>
      </c>
      <c r="B14" s="13" t="s">
        <v>58</v>
      </c>
      <c r="C14" s="13" t="s">
        <v>59</v>
      </c>
      <c r="D14" s="13" t="s">
        <v>60</v>
      </c>
      <c r="E14" s="13" t="s">
        <v>44</v>
      </c>
    </row>
    <row r="15" customFormat="false" ht="15" hidden="false" customHeight="true" outlineLevel="0" collapsed="false">
      <c r="A15" s="21" t="s">
        <v>61</v>
      </c>
      <c r="B15" s="18" t="n">
        <f aca="false">IF($B$6=0,"",COUNTIF(샘플데이터!$L$5:$L$34,"Y")/$B$6)</f>
        <v>1</v>
      </c>
      <c r="C15" s="22" t="n">
        <f aca="false">IF(COUNTIFS(샘플데이터!$C$5:$C$34,"&lt;&gt;",샘플데이터!$D$5:$D$34,"게시물")=0,"",COUNTIFS(샘플데이터!$L$5:$L$34,"Y",샘플데이터!$D$5:$D$34,"게시물")/COUNTIFS(샘플데이터!$C$5:$C$34,"&lt;&gt;",샘플데이터!$D$5:$D$34,"게시물"))</f>
        <v>1</v>
      </c>
      <c r="D15" s="22" t="n">
        <f aca="false">IF(COUNTIFS(샘플데이터!$C$5:$C$34,"&lt;&gt;",샘플데이터!$D$5:$D$34,"릴스")=0,"",COUNTIFS(샘플데이터!$L$5:$L$34,"Y",샘플데이터!$D$5:$D$34,"릴스")/COUNTIFS(샘플데이터!$C$5:$C$34,"&lt;&gt;",샘플데이터!$D$5:$D$34,"릴스"))</f>
        <v>1</v>
      </c>
      <c r="E15" s="19" t="s">
        <v>62</v>
      </c>
    </row>
    <row r="16" customFormat="false" ht="15" hidden="false" customHeight="true" outlineLevel="0" collapsed="false">
      <c r="A16" s="14" t="s">
        <v>63</v>
      </c>
      <c r="B16" s="18" t="n">
        <f aca="false">IF($B$6=0,"",COUNTIF(샘플데이터!$O$5:$O$34,"Y")/$B$6)</f>
        <v>0.692307692307692</v>
      </c>
      <c r="C16" s="22" t="n">
        <f aca="false">IF(COUNTIFS(샘플데이터!$C$5:$C$34,"&lt;&gt;",샘플데이터!$D$5:$D$34,"게시물")=0,"",COUNTIFS(샘플데이터!$O$5:$O$34,"Y",샘플데이터!$D$5:$D$34,"게시물")/COUNTIFS(샘플데이터!$C$5:$C$34,"&lt;&gt;",샘플데이터!$D$5:$D$34,"게시물"))</f>
        <v>0.333333333333333</v>
      </c>
      <c r="D16" s="22" t="n">
        <f aca="false">IF(COUNTIFS(샘플데이터!$C$5:$C$34,"&lt;&gt;",샘플데이터!$D$5:$D$34,"릴스")=0,"",COUNTIFS(샘플데이터!$O$5:$O$34,"Y",샘플데이터!$D$5:$D$34,"릴스")/COUNTIFS(샘플데이터!$C$5:$C$34,"&lt;&gt;",샘플데이터!$D$5:$D$34,"릴스"))</f>
        <v>0.8</v>
      </c>
      <c r="E16" s="19" t="s">
        <v>64</v>
      </c>
    </row>
    <row r="17" customFormat="false" ht="15" hidden="false" customHeight="true" outlineLevel="0" collapsed="false">
      <c r="A17" s="14" t="s">
        <v>65</v>
      </c>
      <c r="B17" s="18" t="n">
        <f aca="false">IF($B$6=0,"",COUNTIF(샘플데이터!$P$5:$P$34,"Y")/$B$6)</f>
        <v>0.0769230769230769</v>
      </c>
      <c r="C17" s="22" t="n">
        <f aca="false">IF(COUNTIFS(샘플데이터!$C$5:$C$34,"&lt;&gt;",샘플데이터!$D$5:$D$34,"게시물")=0,"",COUNTIFS(샘플데이터!$P$5:$P$34,"Y",샘플데이터!$D$5:$D$34,"게시물")/COUNTIFS(샘플데이터!$C$5:$C$34,"&lt;&gt;",샘플데이터!$D$5:$D$34,"게시물"))</f>
        <v>0</v>
      </c>
      <c r="D17" s="22" t="n">
        <f aca="false">IF(COUNTIFS(샘플데이터!$C$5:$C$34,"&lt;&gt;",샘플데이터!$D$5:$D$34,"릴스")=0,"",COUNTIFS(샘플데이터!$P$5:$P$34,"Y",샘플데이터!$D$5:$D$34,"릴스")/COUNTIFS(샘플데이터!$C$5:$C$34,"&lt;&gt;",샘플데이터!$D$5:$D$34,"릴스"))</f>
        <v>0.1</v>
      </c>
      <c r="E17" s="19" t="s">
        <v>66</v>
      </c>
    </row>
    <row r="18" customFormat="false" ht="15" hidden="false" customHeight="true" outlineLevel="0" collapsed="false">
      <c r="A18" s="14" t="s">
        <v>67</v>
      </c>
      <c r="B18" s="18" t="n">
        <f aca="false">IF($B$6=0,"",SUMPRODUCT(--(((샘플데이터!$O$5:$O$34="Y")+(샘플데이터!$P$5:$P$34="Y"))&gt;0))/$B$6)</f>
        <v>0.769230769230769</v>
      </c>
      <c r="C18" s="22"/>
      <c r="D18" s="22"/>
      <c r="E18" s="19" t="s">
        <v>68</v>
      </c>
    </row>
    <row r="19" customFormat="false" ht="15" hidden="false" customHeight="true" outlineLevel="0" collapsed="false">
      <c r="A19" s="14" t="s">
        <v>69</v>
      </c>
      <c r="B19" s="18" t="n">
        <f aca="false">IF($B$6=0,"",SUMPRODUCT(--(((샘플데이터!$Q$5:$Q$34=1)+(샘플데이터!$R$5:$R$34=1))&gt;0))/$B$6)</f>
        <v>0.692307692307692</v>
      </c>
      <c r="C19" s="22"/>
      <c r="D19" s="22"/>
      <c r="E19" s="19" t="s">
        <v>70</v>
      </c>
    </row>
    <row r="20" customFormat="false" ht="15" hidden="false" customHeight="true" outlineLevel="0" collapsed="false">
      <c r="A20" s="14" t="s">
        <v>71</v>
      </c>
      <c r="B20" s="18" t="n">
        <f aca="false">IF($B$6=0,"",COUNTIF(샘플데이터!$S$5:$S$34,"Y")/$B$6)</f>
        <v>0.769230769230769</v>
      </c>
      <c r="C20" s="22" t="n">
        <f aca="false">IF(COUNTIFS(샘플데이터!$C$5:$C$34,"&lt;&gt;",샘플데이터!$D$5:$D$34,"게시물")=0,"",COUNTIFS(샘플데이터!$S$5:$S$34,"Y",샘플데이터!$D$5:$D$34,"게시물")/COUNTIFS(샘플데이터!$C$5:$C$34,"&lt;&gt;",샘플데이터!$D$5:$D$34,"게시물"))</f>
        <v>0.666666666666667</v>
      </c>
      <c r="D20" s="22" t="n">
        <f aca="false">IF(COUNTIFS(샘플데이터!$C$5:$C$34,"&lt;&gt;",샘플데이터!$D$5:$D$34,"릴스")=0,"",COUNTIFS(샘플데이터!$S$5:$S$34,"Y",샘플데이터!$D$5:$D$34,"릴스")/COUNTIFS(샘플데이터!$C$5:$C$34,"&lt;&gt;",샘플데이터!$D$5:$D$34,"릴스"))</f>
        <v>0.8</v>
      </c>
      <c r="E20" s="19" t="s">
        <v>72</v>
      </c>
    </row>
    <row r="21" customFormat="false" ht="15" hidden="false" customHeight="true" outlineLevel="0" collapsed="false">
      <c r="A21" s="14" t="s">
        <v>73</v>
      </c>
      <c r="B21" s="18" t="n">
        <f aca="false">IF($B$6=0,"",SUMPRODUCT((샘플데이터!$R$5:$R$34&gt;0)*((샘플데이터!$Q$5:$Q$34=0)+(샘플데이터!$R$5:$R$34&lt;샘플데이터!$Q$5:$Q$34)&gt;0))/$B$6)</f>
        <v>0.230769230769231</v>
      </c>
      <c r="C21" s="22"/>
      <c r="D21" s="22"/>
      <c r="E21" s="19" t="s">
        <v>74</v>
      </c>
    </row>
    <row r="22" customFormat="false" ht="15" hidden="false" customHeight="true" outlineLevel="0" collapsed="false">
      <c r="A22" s="21" t="s">
        <v>75</v>
      </c>
      <c r="B22" s="18" t="n">
        <f aca="false">IF($B$6=0,"",COUNTIF(샘플데이터!$T$5:$T$34,"Y")/$B$6)</f>
        <v>0.615384615384615</v>
      </c>
      <c r="C22" s="22"/>
      <c r="D22" s="22"/>
      <c r="E22" s="17" t="s">
        <v>76</v>
      </c>
    </row>
    <row r="23" customFormat="false" ht="15" hidden="false" customHeight="true" outlineLevel="0" collapsed="false">
      <c r="A23" s="21" t="s">
        <v>77</v>
      </c>
      <c r="B23" s="18" t="n">
        <f aca="false">IF($B$6=0,"",COUNTIF(샘플데이터!$U$5:$U$34,"Y")/$B$6)</f>
        <v>0.538461538461538</v>
      </c>
      <c r="C23" s="22"/>
      <c r="D23" s="22"/>
      <c r="E23" s="19" t="s">
        <v>78</v>
      </c>
    </row>
    <row r="24" customFormat="false" ht="15" hidden="false" customHeight="true" outlineLevel="0" collapsed="false">
      <c r="A24" s="21" t="s">
        <v>79</v>
      </c>
      <c r="B24" s="18" t="n">
        <f aca="false">IF($B$6=0,"",COUNTIF(샘플데이터!$V$5:$V$34,"Y")/$B$6)</f>
        <v>0.538461538461538</v>
      </c>
      <c r="C24" s="22"/>
      <c r="D24" s="22"/>
      <c r="E24" s="19" t="s">
        <v>78</v>
      </c>
    </row>
    <row r="25" customFormat="false" ht="15" hidden="false" customHeight="true" outlineLevel="0" collapsed="false">
      <c r="A25" s="21" t="s">
        <v>80</v>
      </c>
      <c r="B25" s="18" t="n">
        <f aca="false">IF($B$6=0,"",COUNTIF(샘플데이터!$W$5:$W$34,"Y")/$B$6)</f>
        <v>0.384615384615385</v>
      </c>
      <c r="C25" s="22"/>
      <c r="D25" s="22"/>
      <c r="E25" s="19" t="s">
        <v>78</v>
      </c>
    </row>
    <row r="26" customFormat="false" ht="15" hidden="false" customHeight="true" outlineLevel="0" collapsed="false">
      <c r="A26" s="21" t="s">
        <v>81</v>
      </c>
      <c r="B26" s="18" t="n">
        <f aca="false">IF($B$6=0,"",COUNTIF(샘플데이터!$X$5:$X$34,"Y")/$B$6)</f>
        <v>0.538461538461538</v>
      </c>
      <c r="C26" s="22"/>
      <c r="D26" s="22"/>
      <c r="E26" s="19" t="s">
        <v>78</v>
      </c>
    </row>
    <row r="28" customFormat="false" ht="16.5" hidden="false" customHeight="true" outlineLevel="0" collapsed="false">
      <c r="A28" s="11" t="s">
        <v>82</v>
      </c>
    </row>
    <row r="29" customFormat="false" ht="15" hidden="false" customHeight="true" outlineLevel="0" collapsed="false">
      <c r="A29" s="12" t="s">
        <v>83</v>
      </c>
      <c r="B29" s="13" t="s">
        <v>84</v>
      </c>
      <c r="C29" s="13" t="s">
        <v>85</v>
      </c>
      <c r="D29" s="13" t="s">
        <v>86</v>
      </c>
      <c r="E29" s="13" t="s">
        <v>87</v>
      </c>
    </row>
    <row r="30" customFormat="false" ht="30" hidden="false" customHeight="true" outlineLevel="0" collapsed="false">
      <c r="A30" s="23" t="s">
        <v>88</v>
      </c>
      <c r="B30" s="24" t="n">
        <f aca="false">B16</f>
        <v>0.692307692307692</v>
      </c>
      <c r="C30" s="25" t="n">
        <v>0.5</v>
      </c>
      <c r="D30" s="25" t="n">
        <v>0.2</v>
      </c>
      <c r="E30" s="26" t="str">
        <f aca="false">IF(B30="","샘플 입력 필요",IF(B30&gt;=C30,"링크를 기본 경로로 유지",IF(B30&gt;=D30,"홈에서 링크와 캡션을 함께 받기","캡션·스크린샷을 기본 경로로 재설계")))</f>
        <v>링크를 기본 경로로 유지</v>
      </c>
    </row>
    <row r="31" customFormat="false" ht="30" hidden="false" customHeight="true" outlineLevel="0" collapsed="false">
      <c r="A31" s="23" t="s">
        <v>89</v>
      </c>
      <c r="B31" s="24" t="n">
        <f aca="false">B20</f>
        <v>0.769230769230769</v>
      </c>
      <c r="C31" s="25" t="n">
        <v>0.8</v>
      </c>
      <c r="D31" s="25" t="n">
        <v>0.6</v>
      </c>
      <c r="E31" s="26" t="str">
        <f aca="false">IF(B31="","샘플 입력 필요",IF(B31&gt;=C31,"카카오 유지",IF(B31&gt;=D31,"카카오 유지 + 검색어 전략 보완","검색어 전략 또는 제공자 재검토")))</f>
        <v>카카오 유지 + 검색어 전략 보완</v>
      </c>
    </row>
    <row r="32" customFormat="false" ht="30" hidden="false" customHeight="true" outlineLevel="0" collapsed="false">
      <c r="A32" s="23" t="s">
        <v>90</v>
      </c>
      <c r="B32" s="24" t="n">
        <f aca="false">IF(B23="","",MIN(B23,B24))</f>
        <v>0.538461538461538</v>
      </c>
      <c r="C32" s="25" t="n">
        <v>0.7</v>
      </c>
      <c r="D32" s="27" t="s">
        <v>91</v>
      </c>
      <c r="E32" s="26" t="str">
        <f aca="false">IF(B32="","샘플 입력 필요",IF(B32&gt;=C32,"Google Places를 보조 제공자로 채택","가설을 '게시물 추천 맥락 + 기본 장소 정보'로 축소"))</f>
        <v>가설을 '게시물 추천 맥락 + 기본 장소 정보'로 축소</v>
      </c>
    </row>
    <row r="34" customFormat="false" ht="15" hidden="false" customHeight="true" outlineLevel="0" collapsed="false">
      <c r="A34" s="4" t="s">
        <v>92</v>
      </c>
    </row>
    <row r="35" customFormat="false" ht="15" hidden="false" customHeight="true" outlineLevel="0" collapsed="false">
      <c r="A35" s="12" t="s">
        <v>42</v>
      </c>
      <c r="B35" s="13" t="s">
        <v>43</v>
      </c>
      <c r="C35" s="13"/>
      <c r="D35" s="13"/>
      <c r="E35" s="13" t="s">
        <v>44</v>
      </c>
    </row>
    <row r="36" customFormat="false" ht="15" hidden="false" customHeight="true" outlineLevel="0" collapsed="false">
      <c r="A36" s="14" t="s">
        <v>93</v>
      </c>
      <c r="B36" s="15" t="n">
        <f aca="false">COUNTIF(캡션복사!$D$4:$D$7,"Y")</f>
        <v>0</v>
      </c>
      <c r="C36" s="16"/>
      <c r="D36" s="16"/>
      <c r="E36" s="19" t="s">
        <v>94</v>
      </c>
    </row>
    <row r="37" customFormat="false" ht="15" hidden="false" customHeight="true" outlineLevel="0" collapsed="false">
      <c r="A37" s="14" t="s">
        <v>95</v>
      </c>
      <c r="B37" s="15" t="n">
        <f aca="false">COUNTIFS(샘플데이터!$O$5:$O$34,"N",샘플데이터!$P$5:$P$34,"Y")</f>
        <v>1</v>
      </c>
      <c r="C37" s="16"/>
      <c r="D37" s="16"/>
      <c r="E37" s="19" t="s">
        <v>96</v>
      </c>
    </row>
    <row r="38" customFormat="false" ht="15" hidden="false" customHeight="true" outlineLevel="0" collapsed="false">
      <c r="A38" s="14" t="s">
        <v>97</v>
      </c>
      <c r="B38" s="15" t="n">
        <f aca="false">COUNTIFS(샘플데이터!$O$5:$O$34,"N",샘플데이터!$G$5:$G$34,"Y")</f>
        <v>0</v>
      </c>
      <c r="C38" s="16"/>
      <c r="D38" s="16"/>
      <c r="E38" s="19" t="s">
        <v>98</v>
      </c>
    </row>
    <row r="40" customFormat="false" ht="15" hidden="false" customHeight="true" outlineLevel="0" collapsed="false">
      <c r="A40" s="2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5" min="4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8"/>
    <col collapsed="false" customWidth="true" hidden="false" outlineLevel="0" max="9" min="9" style="1" width="24"/>
    <col collapsed="false" customWidth="true" hidden="false" outlineLevel="0" max="12" min="10" style="1" width="11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6" min="15" style="1" width="11"/>
    <col collapsed="false" customWidth="true" hidden="false" outlineLevel="0" max="17" min="17" style="1" width="10"/>
    <col collapsed="false" customWidth="true" hidden="false" outlineLevel="0" max="19" min="18" style="1" width="11"/>
    <col collapsed="false" customWidth="true" hidden="false" outlineLevel="0" max="24" min="20" style="1" width="9"/>
    <col collapsed="false" customWidth="true" hidden="false" outlineLevel="0" max="25" min="25" style="1" width="30"/>
  </cols>
  <sheetData>
    <row r="1" customFormat="false" ht="24" hidden="false" customHeight="true" outlineLevel="0" collapsed="false">
      <c r="A1" s="10" t="s">
        <v>100</v>
      </c>
    </row>
    <row r="2" customFormat="false" ht="15" hidden="false" customHeight="true" outlineLevel="0" collapsed="false">
      <c r="A2" s="29" t="s">
        <v>101</v>
      </c>
      <c r="B2" s="29"/>
      <c r="C2" s="29"/>
      <c r="D2" s="29"/>
      <c r="E2" s="29"/>
      <c r="F2" s="29"/>
      <c r="G2" s="29"/>
      <c r="H2" s="29"/>
      <c r="I2" s="29"/>
      <c r="J2" s="30" t="s">
        <v>102</v>
      </c>
      <c r="K2" s="30"/>
      <c r="L2" s="31" t="s">
        <v>103</v>
      </c>
      <c r="M2" s="31"/>
      <c r="N2" s="31"/>
      <c r="O2" s="31"/>
      <c r="P2" s="31"/>
      <c r="Q2" s="32" t="s">
        <v>104</v>
      </c>
      <c r="R2" s="32"/>
      <c r="S2" s="32"/>
      <c r="T2" s="33" t="s">
        <v>105</v>
      </c>
      <c r="U2" s="33"/>
      <c r="V2" s="33"/>
      <c r="W2" s="33"/>
      <c r="X2" s="33"/>
      <c r="Y2" s="34"/>
    </row>
    <row r="3" customFormat="false" ht="30" hidden="false" customHeight="true" outlineLevel="0" collapsed="false">
      <c r="A3" s="35" t="s">
        <v>106</v>
      </c>
      <c r="B3" s="36" t="s">
        <v>107</v>
      </c>
      <c r="C3" s="35" t="s">
        <v>108</v>
      </c>
      <c r="D3" s="36" t="s">
        <v>109</v>
      </c>
      <c r="E3" s="36" t="s">
        <v>110</v>
      </c>
      <c r="F3" s="36" t="s">
        <v>111</v>
      </c>
      <c r="G3" s="36" t="s">
        <v>112</v>
      </c>
      <c r="H3" s="36" t="s">
        <v>113</v>
      </c>
      <c r="I3" s="36" t="s">
        <v>114</v>
      </c>
      <c r="J3" s="36" t="s">
        <v>115</v>
      </c>
      <c r="K3" s="36" t="s">
        <v>116</v>
      </c>
      <c r="L3" s="35" t="s">
        <v>117</v>
      </c>
      <c r="M3" s="36" t="s">
        <v>118</v>
      </c>
      <c r="N3" s="36" t="s">
        <v>119</v>
      </c>
      <c r="O3" s="36" t="s">
        <v>120</v>
      </c>
      <c r="P3" s="36" t="s">
        <v>27</v>
      </c>
      <c r="Q3" s="36" t="s">
        <v>121</v>
      </c>
      <c r="R3" s="36" t="s">
        <v>122</v>
      </c>
      <c r="S3" s="35" t="s">
        <v>123</v>
      </c>
      <c r="T3" s="36" t="s">
        <v>124</v>
      </c>
      <c r="U3" s="36" t="s">
        <v>125</v>
      </c>
      <c r="V3" s="36" t="s">
        <v>126</v>
      </c>
      <c r="W3" s="36" t="s">
        <v>127</v>
      </c>
      <c r="X3" s="36" t="s">
        <v>128</v>
      </c>
      <c r="Y3" s="36" t="s">
        <v>129</v>
      </c>
    </row>
    <row r="4" customFormat="false" ht="15" hidden="false" customHeight="true" outlineLevel="0" collapsed="false">
      <c r="A4" s="37" t="s">
        <v>130</v>
      </c>
      <c r="B4" s="37" t="s">
        <v>131</v>
      </c>
      <c r="C4" s="38" t="s">
        <v>132</v>
      </c>
      <c r="D4" s="37" t="s">
        <v>60</v>
      </c>
      <c r="E4" s="37" t="s">
        <v>133</v>
      </c>
      <c r="F4" s="37" t="s">
        <v>134</v>
      </c>
      <c r="G4" s="38" t="s">
        <v>135</v>
      </c>
      <c r="H4" s="37" t="s">
        <v>136</v>
      </c>
      <c r="I4" s="37" t="s">
        <v>137</v>
      </c>
      <c r="J4" s="37" t="n">
        <v>180</v>
      </c>
      <c r="K4" s="37" t="n">
        <v>3</v>
      </c>
      <c r="L4" s="38" t="s">
        <v>138</v>
      </c>
      <c r="M4" s="37" t="s">
        <v>139</v>
      </c>
      <c r="N4" s="37" t="s">
        <v>134</v>
      </c>
      <c r="O4" s="38" t="s">
        <v>138</v>
      </c>
      <c r="P4" s="38" t="s">
        <v>138</v>
      </c>
      <c r="Q4" s="37" t="n">
        <v>2</v>
      </c>
      <c r="R4" s="37" t="n">
        <v>1</v>
      </c>
      <c r="S4" s="37" t="str">
        <f aca="false">IF(AND(Q4="",R4=""),"",IF(OR(AND(Q4&gt;=1,Q4&lt;=3),AND(R4&gt;=1,R4&lt;=3)),"Y","N"))</f>
        <v>Y</v>
      </c>
      <c r="T4" s="38" t="s">
        <v>138</v>
      </c>
      <c r="U4" s="38" t="s">
        <v>138</v>
      </c>
      <c r="V4" s="38" t="s">
        <v>138</v>
      </c>
      <c r="W4" s="38" t="s">
        <v>135</v>
      </c>
      <c r="X4" s="38" t="s">
        <v>138</v>
      </c>
      <c r="Y4" s="37" t="s">
        <v>140</v>
      </c>
    </row>
    <row r="5" customFormat="false" ht="15" hidden="false" customHeight="true" outlineLevel="0" collapsed="false">
      <c r="A5" s="39" t="n">
        <v>1</v>
      </c>
      <c r="B5" s="40" t="s">
        <v>131</v>
      </c>
      <c r="C5" s="41" t="s">
        <v>141</v>
      </c>
      <c r="D5" s="42" t="s">
        <v>59</v>
      </c>
      <c r="E5" s="43"/>
      <c r="F5" s="40" t="s">
        <v>142</v>
      </c>
      <c r="G5" s="43"/>
      <c r="H5" s="40" t="s">
        <v>143</v>
      </c>
      <c r="I5" s="40" t="s">
        <v>144</v>
      </c>
      <c r="J5" s="43"/>
      <c r="K5" s="43"/>
      <c r="L5" s="43" t="s">
        <v>138</v>
      </c>
      <c r="M5" s="40" t="s">
        <v>143</v>
      </c>
      <c r="N5" s="40" t="s">
        <v>145</v>
      </c>
      <c r="O5" s="43" t="s">
        <v>138</v>
      </c>
      <c r="P5" s="43"/>
      <c r="Q5" s="43" t="n">
        <v>1</v>
      </c>
      <c r="R5" s="43"/>
      <c r="S5" s="44" t="str">
        <f aca="false">IF(AND(Q5="",R5=""),"",IF(OR(AND(Q5&gt;=1,Q5&lt;=3),AND(R5&gt;=1,R5&lt;=3)),"Y","N"))</f>
        <v>Y</v>
      </c>
      <c r="T5" s="43" t="s">
        <v>138</v>
      </c>
      <c r="U5" s="43" t="s">
        <v>138</v>
      </c>
      <c r="V5" s="43" t="s">
        <v>138</v>
      </c>
      <c r="W5" s="43" t="s">
        <v>138</v>
      </c>
      <c r="X5" s="43" t="s">
        <v>138</v>
      </c>
      <c r="Y5" s="40" t="s">
        <v>146</v>
      </c>
    </row>
    <row r="6" customFormat="false" ht="15" hidden="false" customHeight="true" outlineLevel="0" collapsed="false">
      <c r="A6" s="39" t="n">
        <v>2</v>
      </c>
      <c r="B6" s="40" t="s">
        <v>131</v>
      </c>
      <c r="C6" s="41" t="s">
        <v>147</v>
      </c>
      <c r="D6" s="42" t="s">
        <v>60</v>
      </c>
      <c r="E6" s="43"/>
      <c r="F6" s="41"/>
      <c r="G6" s="43"/>
      <c r="H6" s="40" t="s">
        <v>148</v>
      </c>
      <c r="I6" s="41"/>
      <c r="J6" s="43"/>
      <c r="K6" s="43"/>
      <c r="L6" s="43" t="s">
        <v>138</v>
      </c>
      <c r="M6" s="40" t="s">
        <v>149</v>
      </c>
      <c r="N6" s="40" t="s">
        <v>149</v>
      </c>
      <c r="O6" s="43" t="s">
        <v>135</v>
      </c>
      <c r="P6" s="43"/>
      <c r="Q6" s="43"/>
      <c r="R6" s="43"/>
      <c r="S6" s="44" t="str">
        <f aca="false">IF(AND(Q6="",R6=""),"",IF(OR(AND(Q6&gt;=1,Q6&lt;=3),AND(R6&gt;=1,R6&lt;=3)),"Y","N"))</f>
        <v/>
      </c>
      <c r="T6" s="43"/>
      <c r="U6" s="43"/>
      <c r="V6" s="43"/>
      <c r="W6" s="43"/>
      <c r="X6" s="43"/>
      <c r="Y6" s="40" t="s">
        <v>150</v>
      </c>
    </row>
    <row r="7" customFormat="false" ht="15" hidden="false" customHeight="true" outlineLevel="0" collapsed="false">
      <c r="A7" s="39" t="n">
        <v>3</v>
      </c>
      <c r="B7" s="40" t="s">
        <v>131</v>
      </c>
      <c r="C7" s="41" t="s">
        <v>151</v>
      </c>
      <c r="D7" s="42" t="s">
        <v>60</v>
      </c>
      <c r="E7" s="43"/>
      <c r="F7" s="40" t="s">
        <v>152</v>
      </c>
      <c r="G7" s="43"/>
      <c r="H7" s="40" t="s">
        <v>153</v>
      </c>
      <c r="I7" s="40" t="s">
        <v>154</v>
      </c>
      <c r="J7" s="43"/>
      <c r="K7" s="43"/>
      <c r="L7" s="43" t="s">
        <v>138</v>
      </c>
      <c r="M7" s="40" t="s">
        <v>153</v>
      </c>
      <c r="N7" s="40" t="s">
        <v>155</v>
      </c>
      <c r="O7" s="43" t="s">
        <v>138</v>
      </c>
      <c r="P7" s="43"/>
      <c r="Q7" s="43" t="n">
        <v>1</v>
      </c>
      <c r="R7" s="43" t="n">
        <v>0</v>
      </c>
      <c r="S7" s="44" t="str">
        <f aca="false">IF(AND(Q7="",R7=""),"",IF(OR(AND(Q7&gt;=1,Q7&lt;=3),AND(R7&gt;=1,R7&lt;=3)),"Y","N"))</f>
        <v>Y</v>
      </c>
      <c r="T7" s="43" t="s">
        <v>138</v>
      </c>
      <c r="U7" s="43" t="s">
        <v>138</v>
      </c>
      <c r="V7" s="43" t="s">
        <v>135</v>
      </c>
      <c r="W7" s="43" t="s">
        <v>135</v>
      </c>
      <c r="X7" s="43" t="s">
        <v>135</v>
      </c>
      <c r="Y7" s="40" t="s">
        <v>156</v>
      </c>
    </row>
    <row r="8" customFormat="false" ht="15" hidden="false" customHeight="true" outlineLevel="0" collapsed="false">
      <c r="A8" s="39" t="n">
        <v>4</v>
      </c>
      <c r="B8" s="40" t="s">
        <v>131</v>
      </c>
      <c r="C8" s="41" t="s">
        <v>157</v>
      </c>
      <c r="D8" s="42" t="s">
        <v>60</v>
      </c>
      <c r="E8" s="43"/>
      <c r="F8" s="40" t="s">
        <v>158</v>
      </c>
      <c r="G8" s="43"/>
      <c r="H8" s="40" t="s">
        <v>159</v>
      </c>
      <c r="I8" s="40" t="s">
        <v>160</v>
      </c>
      <c r="J8" s="43"/>
      <c r="K8" s="43"/>
      <c r="L8" s="43" t="s">
        <v>138</v>
      </c>
      <c r="M8" s="40" t="s">
        <v>159</v>
      </c>
      <c r="N8" s="40" t="s">
        <v>161</v>
      </c>
      <c r="O8" s="43" t="s">
        <v>138</v>
      </c>
      <c r="P8" s="43"/>
      <c r="Q8" s="43" t="n">
        <v>1</v>
      </c>
      <c r="R8" s="43"/>
      <c r="S8" s="44" t="str">
        <f aca="false">IF(AND(Q8="",R8=""),"",IF(OR(AND(Q8&gt;=1,Q8&lt;=3),AND(R8&gt;=1,R8&lt;=3)),"Y","N"))</f>
        <v>Y</v>
      </c>
      <c r="T8" s="43" t="s">
        <v>138</v>
      </c>
      <c r="U8" s="43" t="s">
        <v>138</v>
      </c>
      <c r="V8" s="43" t="s">
        <v>138</v>
      </c>
      <c r="W8" s="43" t="s">
        <v>135</v>
      </c>
      <c r="X8" s="43" t="s">
        <v>138</v>
      </c>
      <c r="Y8" s="40" t="s">
        <v>162</v>
      </c>
    </row>
    <row r="9" customFormat="false" ht="15" hidden="false" customHeight="true" outlineLevel="0" collapsed="false">
      <c r="A9" s="39" t="n">
        <v>5</v>
      </c>
      <c r="B9" s="40" t="s">
        <v>131</v>
      </c>
      <c r="C9" s="41" t="s">
        <v>163</v>
      </c>
      <c r="D9" s="42" t="s">
        <v>60</v>
      </c>
      <c r="E9" s="43"/>
      <c r="F9" s="40" t="s">
        <v>164</v>
      </c>
      <c r="G9" s="43"/>
      <c r="H9" s="40" t="s">
        <v>165</v>
      </c>
      <c r="I9" s="40" t="s">
        <v>166</v>
      </c>
      <c r="J9" s="43"/>
      <c r="K9" s="43"/>
      <c r="L9" s="43" t="s">
        <v>138</v>
      </c>
      <c r="M9" s="40" t="s">
        <v>165</v>
      </c>
      <c r="N9" s="40" t="s">
        <v>167</v>
      </c>
      <c r="O9" s="43" t="s">
        <v>138</v>
      </c>
      <c r="P9" s="43"/>
      <c r="Q9" s="43" t="n">
        <v>1</v>
      </c>
      <c r="R9" s="43"/>
      <c r="S9" s="44" t="str">
        <f aca="false">IF(AND(Q9="",R9=""),"",IF(OR(AND(Q9&gt;=1,Q9&lt;=3),AND(R9&gt;=1,R9&lt;=3)),"Y","N"))</f>
        <v>Y</v>
      </c>
      <c r="T9" s="43" t="s">
        <v>135</v>
      </c>
      <c r="U9" s="43" t="s">
        <v>135</v>
      </c>
      <c r="V9" s="43" t="s">
        <v>135</v>
      </c>
      <c r="W9" s="43" t="s">
        <v>135</v>
      </c>
      <c r="X9" s="43" t="s">
        <v>135</v>
      </c>
      <c r="Y9" s="40" t="s">
        <v>168</v>
      </c>
    </row>
    <row r="10" customFormat="false" ht="15" hidden="false" customHeight="true" outlineLevel="0" collapsed="false">
      <c r="A10" s="39" t="n">
        <v>6</v>
      </c>
      <c r="B10" s="40" t="s">
        <v>131</v>
      </c>
      <c r="C10" s="41" t="s">
        <v>169</v>
      </c>
      <c r="D10" s="42" t="s">
        <v>60</v>
      </c>
      <c r="E10" s="43"/>
      <c r="F10" s="40" t="s">
        <v>170</v>
      </c>
      <c r="G10" s="43"/>
      <c r="H10" s="40" t="s">
        <v>171</v>
      </c>
      <c r="I10" s="41"/>
      <c r="J10" s="43"/>
      <c r="K10" s="43"/>
      <c r="L10" s="43" t="s">
        <v>138</v>
      </c>
      <c r="M10" s="40" t="s">
        <v>149</v>
      </c>
      <c r="N10" s="40" t="s">
        <v>172</v>
      </c>
      <c r="O10" s="43" t="s">
        <v>135</v>
      </c>
      <c r="P10" s="43" t="s">
        <v>138</v>
      </c>
      <c r="Q10" s="43"/>
      <c r="R10" s="43"/>
      <c r="S10" s="44" t="str">
        <f aca="false">IF(AND(Q10="",R10=""),"",IF(OR(AND(Q10&gt;=1,Q10&lt;=3),AND(R10&gt;=1,R10&lt;=3)),"Y","N"))</f>
        <v/>
      </c>
      <c r="T10" s="43"/>
      <c r="U10" s="43"/>
      <c r="V10" s="43"/>
      <c r="W10" s="43"/>
      <c r="X10" s="43"/>
      <c r="Y10" s="41" t="s">
        <v>173</v>
      </c>
    </row>
    <row r="11" customFormat="false" ht="15" hidden="false" customHeight="true" outlineLevel="0" collapsed="false">
      <c r="A11" s="39" t="n">
        <v>7</v>
      </c>
      <c r="B11" s="40" t="s">
        <v>131</v>
      </c>
      <c r="C11" s="41" t="s">
        <v>174</v>
      </c>
      <c r="D11" s="42" t="s">
        <v>60</v>
      </c>
      <c r="E11" s="42" t="s">
        <v>175</v>
      </c>
      <c r="F11" s="40" t="s">
        <v>176</v>
      </c>
      <c r="G11" s="43" t="s">
        <v>135</v>
      </c>
      <c r="H11" s="40" t="s">
        <v>177</v>
      </c>
      <c r="I11" s="40" t="s">
        <v>178</v>
      </c>
      <c r="J11" s="43"/>
      <c r="K11" s="43"/>
      <c r="L11" s="43" t="s">
        <v>138</v>
      </c>
      <c r="M11" s="40" t="s">
        <v>179</v>
      </c>
      <c r="N11" s="40" t="s">
        <v>180</v>
      </c>
      <c r="O11" s="43" t="s">
        <v>138</v>
      </c>
      <c r="P11" s="43"/>
      <c r="Q11" s="43" t="n">
        <v>1</v>
      </c>
      <c r="R11" s="43"/>
      <c r="S11" s="44" t="str">
        <f aca="false">IF(AND(Q11="",R11=""),"",IF(OR(AND(Q11&gt;=1,Q11&lt;=3),AND(R11&gt;=1,R11&lt;=3)),"Y","N"))</f>
        <v>Y</v>
      </c>
      <c r="T11" s="43" t="s">
        <v>138</v>
      </c>
      <c r="U11" s="43" t="s">
        <v>135</v>
      </c>
      <c r="V11" s="43" t="s">
        <v>138</v>
      </c>
      <c r="W11" s="43" t="s">
        <v>135</v>
      </c>
      <c r="X11" s="43" t="s">
        <v>138</v>
      </c>
      <c r="Y11" s="41" t="s">
        <v>181</v>
      </c>
    </row>
    <row r="12" customFormat="false" ht="15" hidden="false" customHeight="true" outlineLevel="0" collapsed="false">
      <c r="A12" s="39" t="n">
        <v>8</v>
      </c>
      <c r="B12" s="40" t="s">
        <v>131</v>
      </c>
      <c r="C12" s="41" t="s">
        <v>182</v>
      </c>
      <c r="D12" s="42" t="s">
        <v>60</v>
      </c>
      <c r="E12" s="42" t="s">
        <v>175</v>
      </c>
      <c r="F12" s="40" t="s">
        <v>183</v>
      </c>
      <c r="G12" s="43" t="s">
        <v>135</v>
      </c>
      <c r="H12" s="40" t="s">
        <v>184</v>
      </c>
      <c r="I12" s="40" t="s">
        <v>185</v>
      </c>
      <c r="J12" s="43"/>
      <c r="K12" s="43"/>
      <c r="L12" s="43" t="s">
        <v>138</v>
      </c>
      <c r="M12" s="40" t="s">
        <v>186</v>
      </c>
      <c r="N12" s="40" t="s">
        <v>187</v>
      </c>
      <c r="O12" s="43" t="s">
        <v>138</v>
      </c>
      <c r="P12" s="43"/>
      <c r="Q12" s="43" t="n">
        <v>3</v>
      </c>
      <c r="R12" s="43" t="n">
        <v>1</v>
      </c>
      <c r="S12" s="44" t="str">
        <f aca="false">IF(AND(Q12="",R12=""),"",IF(OR(AND(Q12&gt;=1,Q12&lt;=3),AND(R12&gt;=1,R12&lt;=3)),"Y","N"))</f>
        <v>Y</v>
      </c>
      <c r="T12" s="43" t="s">
        <v>138</v>
      </c>
      <c r="U12" s="43" t="s">
        <v>138</v>
      </c>
      <c r="V12" s="43" t="s">
        <v>138</v>
      </c>
      <c r="W12" s="43" t="s">
        <v>138</v>
      </c>
      <c r="X12" s="43" t="s">
        <v>138</v>
      </c>
      <c r="Y12" s="41" t="s">
        <v>188</v>
      </c>
    </row>
    <row r="13" customFormat="false" ht="15" hidden="false" customHeight="true" outlineLevel="0" collapsed="false">
      <c r="A13" s="39" t="n">
        <v>9</v>
      </c>
      <c r="B13" s="40" t="s">
        <v>131</v>
      </c>
      <c r="C13" s="41" t="s">
        <v>189</v>
      </c>
      <c r="D13" s="42" t="s">
        <v>60</v>
      </c>
      <c r="E13" s="42" t="s">
        <v>133</v>
      </c>
      <c r="F13" s="40" t="s">
        <v>190</v>
      </c>
      <c r="G13" s="43" t="s">
        <v>135</v>
      </c>
      <c r="H13" s="40" t="s">
        <v>191</v>
      </c>
      <c r="I13" s="41"/>
      <c r="J13" s="43"/>
      <c r="K13" s="43"/>
      <c r="L13" s="43" t="s">
        <v>138</v>
      </c>
      <c r="M13" s="40" t="s">
        <v>192</v>
      </c>
      <c r="N13" s="40" t="s">
        <v>193</v>
      </c>
      <c r="O13" s="43" t="s">
        <v>138</v>
      </c>
      <c r="P13" s="43"/>
      <c r="Q13" s="43" t="n">
        <v>3</v>
      </c>
      <c r="R13" s="43"/>
      <c r="S13" s="44" t="str">
        <f aca="false">IF(AND(Q13="",R13=""),"",IF(OR(AND(Q13&gt;=1,Q13&lt;=3),AND(R13&gt;=1,R13&lt;=3)),"Y","N"))</f>
        <v>Y</v>
      </c>
      <c r="T13" s="43" t="s">
        <v>138</v>
      </c>
      <c r="U13" s="43" t="s">
        <v>138</v>
      </c>
      <c r="V13" s="43" t="s">
        <v>138</v>
      </c>
      <c r="W13" s="43" t="s">
        <v>138</v>
      </c>
      <c r="X13" s="43" t="s">
        <v>138</v>
      </c>
      <c r="Y13" s="41" t="s">
        <v>194</v>
      </c>
    </row>
    <row r="14" customFormat="false" ht="15" hidden="false" customHeight="true" outlineLevel="0" collapsed="false">
      <c r="A14" s="39" t="n">
        <v>10</v>
      </c>
      <c r="B14" s="40" t="s">
        <v>131</v>
      </c>
      <c r="C14" s="41" t="s">
        <v>195</v>
      </c>
      <c r="D14" s="42" t="s">
        <v>59</v>
      </c>
      <c r="E14" s="42" t="s">
        <v>175</v>
      </c>
      <c r="F14" s="40" t="s">
        <v>196</v>
      </c>
      <c r="G14" s="43" t="s">
        <v>135</v>
      </c>
      <c r="H14" s="40" t="s">
        <v>197</v>
      </c>
      <c r="I14" s="41"/>
      <c r="J14" s="43"/>
      <c r="K14" s="43"/>
      <c r="L14" s="43" t="s">
        <v>138</v>
      </c>
      <c r="M14" s="40" t="s">
        <v>198</v>
      </c>
      <c r="N14" s="40" t="s">
        <v>149</v>
      </c>
      <c r="O14" s="43" t="s">
        <v>135</v>
      </c>
      <c r="P14" s="43"/>
      <c r="Q14" s="43"/>
      <c r="R14" s="43"/>
      <c r="S14" s="44" t="str">
        <f aca="false">IF(AND(Q14="",R14=""),"",IF(OR(AND(Q14&gt;=1,Q14&lt;=3),AND(R14&gt;=1,R14&lt;=3)),"Y","N"))</f>
        <v/>
      </c>
      <c r="T14" s="43"/>
      <c r="U14" s="43"/>
      <c r="V14" s="43"/>
      <c r="W14" s="43"/>
      <c r="X14" s="43"/>
      <c r="Y14" s="41" t="s">
        <v>199</v>
      </c>
    </row>
    <row r="15" customFormat="false" ht="15" hidden="false" customHeight="true" outlineLevel="0" collapsed="false">
      <c r="A15" s="39" t="n">
        <v>11</v>
      </c>
      <c r="B15" s="40" t="s">
        <v>131</v>
      </c>
      <c r="C15" s="41" t="s">
        <v>200</v>
      </c>
      <c r="D15" s="42" t="s">
        <v>60</v>
      </c>
      <c r="E15" s="42" t="s">
        <v>175</v>
      </c>
      <c r="F15" s="40" t="s">
        <v>201</v>
      </c>
      <c r="G15" s="43" t="s">
        <v>135</v>
      </c>
      <c r="H15" s="40" t="s">
        <v>202</v>
      </c>
      <c r="I15" s="40" t="s">
        <v>203</v>
      </c>
      <c r="J15" s="43"/>
      <c r="K15" s="43"/>
      <c r="L15" s="43" t="s">
        <v>138</v>
      </c>
      <c r="M15" s="40" t="s">
        <v>202</v>
      </c>
      <c r="N15" s="40" t="s">
        <v>204</v>
      </c>
      <c r="O15" s="43" t="s">
        <v>138</v>
      </c>
      <c r="P15" s="43"/>
      <c r="Q15" s="43" t="n">
        <v>2</v>
      </c>
      <c r="R15" s="43" t="n">
        <v>1</v>
      </c>
      <c r="S15" s="44" t="str">
        <f aca="false">IF(AND(Q15="",R15=""),"",IF(OR(AND(Q15&gt;=1,Q15&lt;=3),AND(R15&gt;=1,R15&lt;=3)),"Y","N"))</f>
        <v>Y</v>
      </c>
      <c r="T15" s="43" t="s">
        <v>135</v>
      </c>
      <c r="U15" s="43" t="s">
        <v>135</v>
      </c>
      <c r="V15" s="43" t="s">
        <v>135</v>
      </c>
      <c r="W15" s="43" t="s">
        <v>135</v>
      </c>
      <c r="X15" s="43" t="s">
        <v>135</v>
      </c>
      <c r="Y15" s="41" t="s">
        <v>205</v>
      </c>
    </row>
    <row r="16" customFormat="false" ht="15" hidden="false" customHeight="true" outlineLevel="0" collapsed="false">
      <c r="A16" s="39" t="n">
        <v>12</v>
      </c>
      <c r="B16" s="40" t="s">
        <v>131</v>
      </c>
      <c r="C16" s="41" t="s">
        <v>206</v>
      </c>
      <c r="D16" s="42" t="s">
        <v>59</v>
      </c>
      <c r="E16" s="42" t="s">
        <v>175</v>
      </c>
      <c r="F16" s="40" t="s">
        <v>207</v>
      </c>
      <c r="G16" s="43" t="s">
        <v>135</v>
      </c>
      <c r="H16" s="40" t="s">
        <v>208</v>
      </c>
      <c r="I16" s="41" t="s">
        <v>209</v>
      </c>
      <c r="J16" s="43"/>
      <c r="K16" s="43"/>
      <c r="L16" s="43" t="s">
        <v>138</v>
      </c>
      <c r="M16" s="40" t="s">
        <v>210</v>
      </c>
      <c r="N16" s="40" t="s">
        <v>211</v>
      </c>
      <c r="O16" s="43" t="s">
        <v>135</v>
      </c>
      <c r="P16" s="43"/>
      <c r="Q16" s="43"/>
      <c r="R16" s="43" t="n">
        <v>1</v>
      </c>
      <c r="S16" s="44" t="str">
        <f aca="false">IF(AND(Q16="",R16=""),"",IF(OR(AND(Q16&gt;=1,Q16&lt;=3),AND(R16&gt;=1,R16&lt;=3)),"Y","N"))</f>
        <v>Y</v>
      </c>
      <c r="T16" s="43" t="s">
        <v>138</v>
      </c>
      <c r="U16" s="43" t="s">
        <v>138</v>
      </c>
      <c r="V16" s="43" t="s">
        <v>138</v>
      </c>
      <c r="W16" s="43" t="s">
        <v>138</v>
      </c>
      <c r="X16" s="43" t="s">
        <v>138</v>
      </c>
      <c r="Y16" s="41" t="s">
        <v>212</v>
      </c>
    </row>
    <row r="17" customFormat="false" ht="15" hidden="false" customHeight="true" outlineLevel="0" collapsed="false">
      <c r="A17" s="39" t="n">
        <v>13</v>
      </c>
      <c r="B17" s="40" t="s">
        <v>131</v>
      </c>
      <c r="C17" s="41" t="s">
        <v>213</v>
      </c>
      <c r="D17" s="42" t="s">
        <v>60</v>
      </c>
      <c r="E17" s="42" t="s">
        <v>133</v>
      </c>
      <c r="F17" s="40" t="s">
        <v>214</v>
      </c>
      <c r="G17" s="43" t="s">
        <v>135</v>
      </c>
      <c r="H17" s="40" t="s">
        <v>215</v>
      </c>
      <c r="I17" s="40" t="s">
        <v>216</v>
      </c>
      <c r="J17" s="43"/>
      <c r="K17" s="43"/>
      <c r="L17" s="43" t="s">
        <v>138</v>
      </c>
      <c r="M17" s="40" t="s">
        <v>215</v>
      </c>
      <c r="N17" s="40" t="s">
        <v>217</v>
      </c>
      <c r="O17" s="43" t="s">
        <v>138</v>
      </c>
      <c r="P17" s="43"/>
      <c r="Q17" s="43" t="n">
        <v>1</v>
      </c>
      <c r="R17" s="43"/>
      <c r="S17" s="44" t="str">
        <f aca="false">IF(AND(Q17="",R17=""),"",IF(OR(AND(Q17&gt;=1,Q17&lt;=3),AND(R17&gt;=1,R17&lt;=3)),"Y","N"))</f>
        <v>Y</v>
      </c>
      <c r="T17" s="43" t="s">
        <v>138</v>
      </c>
      <c r="U17" s="43" t="s">
        <v>138</v>
      </c>
      <c r="V17" s="43" t="s">
        <v>138</v>
      </c>
      <c r="W17" s="43" t="s">
        <v>138</v>
      </c>
      <c r="X17" s="43" t="s">
        <v>138</v>
      </c>
      <c r="Y17" s="41" t="s">
        <v>218</v>
      </c>
    </row>
    <row r="18" customFormat="false" ht="15" hidden="false" customHeight="true" outlineLevel="0" collapsed="false">
      <c r="A18" s="39" t="n">
        <v>14</v>
      </c>
      <c r="B18" s="41"/>
      <c r="C18" s="41"/>
      <c r="D18" s="42"/>
      <c r="E18" s="43"/>
      <c r="F18" s="41"/>
      <c r="G18" s="43"/>
      <c r="H18" s="41"/>
      <c r="I18" s="41"/>
      <c r="J18" s="43"/>
      <c r="K18" s="43"/>
      <c r="L18" s="43"/>
      <c r="M18" s="40"/>
      <c r="N18" s="40"/>
      <c r="O18" s="43"/>
      <c r="P18" s="43"/>
      <c r="Q18" s="43"/>
      <c r="R18" s="43"/>
      <c r="S18" s="44" t="str">
        <f aca="false">IF(AND(Q18="",R18=""),"",IF(OR(AND(Q18&gt;=1,Q18&lt;=3),AND(R18&gt;=1,R18&lt;=3)),"Y","N"))</f>
        <v/>
      </c>
      <c r="T18" s="43"/>
      <c r="U18" s="43"/>
      <c r="V18" s="43"/>
      <c r="W18" s="43"/>
      <c r="X18" s="43"/>
      <c r="Y18" s="41"/>
    </row>
    <row r="19" customFormat="false" ht="15" hidden="false" customHeight="true" outlineLevel="0" collapsed="false">
      <c r="A19" s="39" t="n">
        <v>15</v>
      </c>
      <c r="B19" s="41"/>
      <c r="C19" s="41"/>
      <c r="D19" s="42"/>
      <c r="E19" s="43"/>
      <c r="F19" s="41"/>
      <c r="G19" s="43"/>
      <c r="H19" s="41"/>
      <c r="I19" s="41"/>
      <c r="J19" s="43"/>
      <c r="K19" s="43"/>
      <c r="L19" s="43"/>
      <c r="M19" s="40"/>
      <c r="N19" s="40"/>
      <c r="O19" s="43"/>
      <c r="P19" s="43"/>
      <c r="Q19" s="43"/>
      <c r="R19" s="43"/>
      <c r="S19" s="44" t="str">
        <f aca="false">IF(AND(Q19="",R19=""),"",IF(OR(AND(Q19&gt;=1,Q19&lt;=3),AND(R19&gt;=1,R19&lt;=3)),"Y","N"))</f>
        <v/>
      </c>
      <c r="T19" s="43"/>
      <c r="U19" s="43"/>
      <c r="V19" s="43"/>
      <c r="W19" s="43"/>
      <c r="X19" s="43"/>
      <c r="Y19" s="41"/>
    </row>
    <row r="20" customFormat="false" ht="15" hidden="false" customHeight="true" outlineLevel="0" collapsed="false">
      <c r="A20" s="39" t="n">
        <v>16</v>
      </c>
      <c r="B20" s="41"/>
      <c r="C20" s="41"/>
      <c r="D20" s="42"/>
      <c r="E20" s="43"/>
      <c r="F20" s="41"/>
      <c r="G20" s="43"/>
      <c r="H20" s="41"/>
      <c r="I20" s="41"/>
      <c r="J20" s="43"/>
      <c r="K20" s="43"/>
      <c r="L20" s="43"/>
      <c r="M20" s="40"/>
      <c r="N20" s="40"/>
      <c r="O20" s="43"/>
      <c r="P20" s="43"/>
      <c r="Q20" s="43"/>
      <c r="R20" s="43"/>
      <c r="S20" s="44" t="str">
        <f aca="false">IF(AND(Q20="",R20=""),"",IF(OR(AND(Q20&gt;=1,Q20&lt;=3),AND(R20&gt;=1,R20&lt;=3)),"Y","N"))</f>
        <v/>
      </c>
      <c r="T20" s="43"/>
      <c r="U20" s="43"/>
      <c r="V20" s="43"/>
      <c r="W20" s="43"/>
      <c r="X20" s="43"/>
      <c r="Y20" s="41"/>
    </row>
    <row r="21" customFormat="false" ht="15" hidden="false" customHeight="true" outlineLevel="0" collapsed="false">
      <c r="A21" s="39" t="n">
        <v>17</v>
      </c>
      <c r="B21" s="41"/>
      <c r="C21" s="41"/>
      <c r="D21" s="42"/>
      <c r="E21" s="43"/>
      <c r="F21" s="41"/>
      <c r="G21" s="43"/>
      <c r="H21" s="41"/>
      <c r="I21" s="41"/>
      <c r="J21" s="43"/>
      <c r="K21" s="43"/>
      <c r="L21" s="43"/>
      <c r="M21" s="40"/>
      <c r="N21" s="40"/>
      <c r="O21" s="43"/>
      <c r="P21" s="43"/>
      <c r="Q21" s="43"/>
      <c r="R21" s="43"/>
      <c r="S21" s="44" t="str">
        <f aca="false">IF(AND(Q21="",R21=""),"",IF(OR(AND(Q21&gt;=1,Q21&lt;=3),AND(R21&gt;=1,R21&lt;=3)),"Y","N"))</f>
        <v/>
      </c>
      <c r="T21" s="43"/>
      <c r="U21" s="43"/>
      <c r="V21" s="43"/>
      <c r="W21" s="43"/>
      <c r="X21" s="43"/>
      <c r="Y21" s="41"/>
    </row>
    <row r="22" customFormat="false" ht="15" hidden="false" customHeight="true" outlineLevel="0" collapsed="false">
      <c r="A22" s="39" t="n">
        <v>18</v>
      </c>
      <c r="B22" s="41"/>
      <c r="C22" s="41"/>
      <c r="D22" s="42"/>
      <c r="E22" s="43"/>
      <c r="F22" s="41"/>
      <c r="G22" s="43"/>
      <c r="H22" s="41"/>
      <c r="I22" s="41"/>
      <c r="J22" s="43"/>
      <c r="K22" s="43"/>
      <c r="L22" s="43"/>
      <c r="M22" s="40"/>
      <c r="N22" s="40"/>
      <c r="O22" s="43"/>
      <c r="P22" s="43"/>
      <c r="Q22" s="43"/>
      <c r="R22" s="43"/>
      <c r="S22" s="44" t="str">
        <f aca="false">IF(AND(Q22="",R22=""),"",IF(OR(AND(Q22&gt;=1,Q22&lt;=3),AND(R22&gt;=1,R22&lt;=3)),"Y","N"))</f>
        <v/>
      </c>
      <c r="T22" s="43"/>
      <c r="U22" s="43"/>
      <c r="V22" s="43"/>
      <c r="W22" s="43"/>
      <c r="X22" s="43"/>
      <c r="Y22" s="41"/>
    </row>
    <row r="23" customFormat="false" ht="15" hidden="false" customHeight="true" outlineLevel="0" collapsed="false">
      <c r="A23" s="39" t="n">
        <v>19</v>
      </c>
      <c r="B23" s="41"/>
      <c r="C23" s="41"/>
      <c r="D23" s="42"/>
      <c r="E23" s="43"/>
      <c r="F23" s="41"/>
      <c r="G23" s="43"/>
      <c r="H23" s="41"/>
      <c r="I23" s="41"/>
      <c r="J23" s="43"/>
      <c r="K23" s="43"/>
      <c r="L23" s="43"/>
      <c r="M23" s="40"/>
      <c r="N23" s="40"/>
      <c r="O23" s="43"/>
      <c r="P23" s="43"/>
      <c r="Q23" s="43"/>
      <c r="R23" s="43"/>
      <c r="S23" s="44" t="str">
        <f aca="false">IF(AND(Q23="",R23=""),"",IF(OR(AND(Q23&gt;=1,Q23&lt;=3),AND(R23&gt;=1,R23&lt;=3)),"Y","N"))</f>
        <v/>
      </c>
      <c r="T23" s="43"/>
      <c r="U23" s="43"/>
      <c r="V23" s="43"/>
      <c r="W23" s="43"/>
      <c r="X23" s="43"/>
      <c r="Y23" s="41"/>
    </row>
    <row r="24" customFormat="false" ht="15" hidden="false" customHeight="true" outlineLevel="0" collapsed="false">
      <c r="A24" s="39" t="n">
        <v>20</v>
      </c>
      <c r="B24" s="41"/>
      <c r="C24" s="41"/>
      <c r="D24" s="42"/>
      <c r="E24" s="43"/>
      <c r="F24" s="41"/>
      <c r="G24" s="43"/>
      <c r="H24" s="41"/>
      <c r="I24" s="41"/>
      <c r="J24" s="43"/>
      <c r="K24" s="43"/>
      <c r="L24" s="43"/>
      <c r="M24" s="40"/>
      <c r="N24" s="40"/>
      <c r="O24" s="43"/>
      <c r="P24" s="43"/>
      <c r="Q24" s="43"/>
      <c r="R24" s="43"/>
      <c r="S24" s="44" t="str">
        <f aca="false">IF(AND(Q24="",R24=""),"",IF(OR(AND(Q24&gt;=1,Q24&lt;=3),AND(R24&gt;=1,R24&lt;=3)),"Y","N"))</f>
        <v/>
      </c>
      <c r="T24" s="43"/>
      <c r="U24" s="43"/>
      <c r="V24" s="43"/>
      <c r="W24" s="43"/>
      <c r="X24" s="43"/>
      <c r="Y24" s="41"/>
    </row>
    <row r="25" customFormat="false" ht="15" hidden="false" customHeight="true" outlineLevel="0" collapsed="false">
      <c r="A25" s="39" t="n">
        <v>21</v>
      </c>
      <c r="B25" s="41"/>
      <c r="C25" s="41"/>
      <c r="D25" s="42"/>
      <c r="E25" s="43"/>
      <c r="F25" s="41"/>
      <c r="G25" s="43"/>
      <c r="H25" s="41"/>
      <c r="I25" s="41"/>
      <c r="J25" s="43"/>
      <c r="K25" s="43"/>
      <c r="L25" s="43"/>
      <c r="M25" s="40"/>
      <c r="N25" s="40"/>
      <c r="O25" s="43"/>
      <c r="P25" s="43"/>
      <c r="Q25" s="43"/>
      <c r="R25" s="43"/>
      <c r="S25" s="44" t="str">
        <f aca="false">IF(AND(Q25="",R25=""),"",IF(OR(AND(Q25&gt;=1,Q25&lt;=3),AND(R25&gt;=1,R25&lt;=3)),"Y","N"))</f>
        <v/>
      </c>
      <c r="T25" s="43"/>
      <c r="U25" s="43"/>
      <c r="V25" s="43"/>
      <c r="W25" s="43"/>
      <c r="X25" s="43"/>
      <c r="Y25" s="41"/>
    </row>
    <row r="26" customFormat="false" ht="15" hidden="false" customHeight="true" outlineLevel="0" collapsed="false">
      <c r="A26" s="39" t="n">
        <v>22</v>
      </c>
      <c r="B26" s="41"/>
      <c r="C26" s="41"/>
      <c r="D26" s="42"/>
      <c r="E26" s="43"/>
      <c r="F26" s="41"/>
      <c r="G26" s="43"/>
      <c r="H26" s="41"/>
      <c r="I26" s="41"/>
      <c r="J26" s="43"/>
      <c r="K26" s="43"/>
      <c r="L26" s="43"/>
      <c r="M26" s="40"/>
      <c r="N26" s="40"/>
      <c r="O26" s="43"/>
      <c r="P26" s="43"/>
      <c r="Q26" s="43"/>
      <c r="R26" s="43"/>
      <c r="S26" s="44" t="str">
        <f aca="false">IF(AND(Q26="",R26=""),"",IF(OR(AND(Q26&gt;=1,Q26&lt;=3),AND(R26&gt;=1,R26&lt;=3)),"Y","N"))</f>
        <v/>
      </c>
      <c r="T26" s="43"/>
      <c r="U26" s="43"/>
      <c r="V26" s="43"/>
      <c r="W26" s="43"/>
      <c r="X26" s="43"/>
      <c r="Y26" s="41"/>
    </row>
    <row r="27" customFormat="false" ht="15" hidden="false" customHeight="true" outlineLevel="0" collapsed="false">
      <c r="A27" s="39" t="n">
        <v>23</v>
      </c>
      <c r="B27" s="41"/>
      <c r="C27" s="41"/>
      <c r="D27" s="42"/>
      <c r="E27" s="43"/>
      <c r="F27" s="41"/>
      <c r="G27" s="43"/>
      <c r="H27" s="41"/>
      <c r="I27" s="41"/>
      <c r="J27" s="43"/>
      <c r="K27" s="43"/>
      <c r="L27" s="43"/>
      <c r="M27" s="40"/>
      <c r="N27" s="40"/>
      <c r="O27" s="43"/>
      <c r="P27" s="43"/>
      <c r="Q27" s="43"/>
      <c r="R27" s="43"/>
      <c r="S27" s="44" t="str">
        <f aca="false">IF(AND(Q27="",R27=""),"",IF(OR(AND(Q27&gt;=1,Q27&lt;=3),AND(R27&gt;=1,R27&lt;=3)),"Y","N"))</f>
        <v/>
      </c>
      <c r="T27" s="43"/>
      <c r="U27" s="43"/>
      <c r="V27" s="43"/>
      <c r="W27" s="43"/>
      <c r="X27" s="43"/>
      <c r="Y27" s="41"/>
    </row>
    <row r="28" customFormat="false" ht="15" hidden="false" customHeight="true" outlineLevel="0" collapsed="false">
      <c r="A28" s="39" t="n">
        <v>24</v>
      </c>
      <c r="B28" s="41"/>
      <c r="C28" s="41"/>
      <c r="D28" s="42"/>
      <c r="E28" s="43"/>
      <c r="F28" s="41"/>
      <c r="G28" s="43"/>
      <c r="H28" s="41"/>
      <c r="I28" s="41"/>
      <c r="J28" s="43"/>
      <c r="K28" s="43"/>
      <c r="L28" s="43"/>
      <c r="M28" s="40"/>
      <c r="N28" s="40"/>
      <c r="O28" s="43"/>
      <c r="P28" s="43"/>
      <c r="Q28" s="43"/>
      <c r="R28" s="43"/>
      <c r="S28" s="44" t="str">
        <f aca="false">IF(AND(Q28="",R28=""),"",IF(OR(AND(Q28&gt;=1,Q28&lt;=3),AND(R28&gt;=1,R28&lt;=3)),"Y","N"))</f>
        <v/>
      </c>
      <c r="T28" s="43"/>
      <c r="U28" s="43"/>
      <c r="V28" s="43"/>
      <c r="W28" s="43"/>
      <c r="X28" s="43"/>
      <c r="Y28" s="41"/>
    </row>
    <row r="29" customFormat="false" ht="15" hidden="false" customHeight="true" outlineLevel="0" collapsed="false">
      <c r="A29" s="39" t="n">
        <v>25</v>
      </c>
      <c r="B29" s="41"/>
      <c r="C29" s="41"/>
      <c r="D29" s="42"/>
      <c r="E29" s="43"/>
      <c r="F29" s="41"/>
      <c r="G29" s="43"/>
      <c r="H29" s="41"/>
      <c r="I29" s="41"/>
      <c r="J29" s="43"/>
      <c r="K29" s="43"/>
      <c r="L29" s="43"/>
      <c r="M29" s="40"/>
      <c r="N29" s="40"/>
      <c r="O29" s="43"/>
      <c r="P29" s="43"/>
      <c r="Q29" s="43"/>
      <c r="R29" s="43"/>
      <c r="S29" s="44" t="str">
        <f aca="false">IF(AND(Q29="",R29=""),"",IF(OR(AND(Q29&gt;=1,Q29&lt;=3),AND(R29&gt;=1,R29&lt;=3)),"Y","N"))</f>
        <v/>
      </c>
      <c r="T29" s="43"/>
      <c r="U29" s="43"/>
      <c r="V29" s="43"/>
      <c r="W29" s="43"/>
      <c r="X29" s="43"/>
      <c r="Y29" s="41"/>
    </row>
    <row r="30" customFormat="false" ht="15" hidden="false" customHeight="true" outlineLevel="0" collapsed="false">
      <c r="A30" s="39" t="n">
        <v>26</v>
      </c>
      <c r="B30" s="41"/>
      <c r="C30" s="41"/>
      <c r="D30" s="42"/>
      <c r="E30" s="43"/>
      <c r="F30" s="41"/>
      <c r="G30" s="43"/>
      <c r="H30" s="41"/>
      <c r="I30" s="41"/>
      <c r="J30" s="43"/>
      <c r="K30" s="43"/>
      <c r="L30" s="43"/>
      <c r="M30" s="40"/>
      <c r="N30" s="40"/>
      <c r="O30" s="43"/>
      <c r="P30" s="43"/>
      <c r="Q30" s="43"/>
      <c r="R30" s="43"/>
      <c r="S30" s="44" t="str">
        <f aca="false">IF(AND(Q30="",R30=""),"",IF(OR(AND(Q30&gt;=1,Q30&lt;=3),AND(R30&gt;=1,R30&lt;=3)),"Y","N"))</f>
        <v/>
      </c>
      <c r="T30" s="43"/>
      <c r="U30" s="43"/>
      <c r="V30" s="43"/>
      <c r="W30" s="43"/>
      <c r="X30" s="43"/>
      <c r="Y30" s="41"/>
    </row>
    <row r="31" customFormat="false" ht="15" hidden="false" customHeight="true" outlineLevel="0" collapsed="false">
      <c r="A31" s="39" t="n">
        <v>27</v>
      </c>
      <c r="B31" s="41"/>
      <c r="C31" s="41"/>
      <c r="D31" s="42"/>
      <c r="E31" s="43"/>
      <c r="F31" s="41"/>
      <c r="G31" s="43"/>
      <c r="H31" s="41"/>
      <c r="I31" s="41"/>
      <c r="J31" s="43"/>
      <c r="K31" s="43"/>
      <c r="L31" s="43"/>
      <c r="M31" s="40"/>
      <c r="N31" s="40"/>
      <c r="O31" s="43"/>
      <c r="P31" s="43"/>
      <c r="Q31" s="43"/>
      <c r="R31" s="43"/>
      <c r="S31" s="44" t="str">
        <f aca="false">IF(AND(Q31="",R31=""),"",IF(OR(AND(Q31&gt;=1,Q31&lt;=3),AND(R31&gt;=1,R31&lt;=3)),"Y","N"))</f>
        <v/>
      </c>
      <c r="T31" s="43"/>
      <c r="U31" s="43"/>
      <c r="V31" s="43"/>
      <c r="W31" s="43"/>
      <c r="X31" s="43"/>
      <c r="Y31" s="41"/>
    </row>
    <row r="32" customFormat="false" ht="15" hidden="false" customHeight="true" outlineLevel="0" collapsed="false">
      <c r="A32" s="39" t="n">
        <v>28</v>
      </c>
      <c r="B32" s="41"/>
      <c r="C32" s="41"/>
      <c r="D32" s="42"/>
      <c r="E32" s="43"/>
      <c r="F32" s="41"/>
      <c r="G32" s="43"/>
      <c r="H32" s="41"/>
      <c r="I32" s="41"/>
      <c r="J32" s="43"/>
      <c r="K32" s="43"/>
      <c r="L32" s="43"/>
      <c r="M32" s="40"/>
      <c r="N32" s="40"/>
      <c r="O32" s="43"/>
      <c r="P32" s="43"/>
      <c r="Q32" s="43"/>
      <c r="R32" s="43"/>
      <c r="S32" s="44" t="str">
        <f aca="false">IF(AND(Q32="",R32=""),"",IF(OR(AND(Q32&gt;=1,Q32&lt;=3),AND(R32&gt;=1,R32&lt;=3)),"Y","N"))</f>
        <v/>
      </c>
      <c r="T32" s="43"/>
      <c r="U32" s="43"/>
      <c r="V32" s="43"/>
      <c r="W32" s="43"/>
      <c r="X32" s="43"/>
      <c r="Y32" s="41"/>
    </row>
    <row r="33" customFormat="false" ht="15" hidden="false" customHeight="true" outlineLevel="0" collapsed="false">
      <c r="A33" s="39" t="n">
        <v>29</v>
      </c>
      <c r="B33" s="41"/>
      <c r="C33" s="41"/>
      <c r="D33" s="42"/>
      <c r="E33" s="43"/>
      <c r="F33" s="41"/>
      <c r="G33" s="43"/>
      <c r="H33" s="41"/>
      <c r="I33" s="41"/>
      <c r="J33" s="43"/>
      <c r="K33" s="43"/>
      <c r="L33" s="43"/>
      <c r="M33" s="40"/>
      <c r="N33" s="40"/>
      <c r="O33" s="43"/>
      <c r="P33" s="43"/>
      <c r="Q33" s="43"/>
      <c r="R33" s="43"/>
      <c r="S33" s="44" t="str">
        <f aca="false">IF(AND(Q33="",R33=""),"",IF(OR(AND(Q33&gt;=1,Q33&lt;=3),AND(R33&gt;=1,R33&lt;=3)),"Y","N"))</f>
        <v/>
      </c>
      <c r="T33" s="43"/>
      <c r="U33" s="43"/>
      <c r="V33" s="43"/>
      <c r="W33" s="43"/>
      <c r="X33" s="43"/>
      <c r="Y33" s="41"/>
    </row>
    <row r="34" customFormat="false" ht="15" hidden="false" customHeight="true" outlineLevel="0" collapsed="false">
      <c r="A34" s="39" t="n">
        <v>30</v>
      </c>
      <c r="B34" s="41"/>
      <c r="C34" s="41"/>
      <c r="D34" s="42"/>
      <c r="E34" s="43"/>
      <c r="F34" s="41"/>
      <c r="G34" s="43"/>
      <c r="H34" s="41"/>
      <c r="I34" s="41"/>
      <c r="J34" s="43"/>
      <c r="K34" s="43"/>
      <c r="L34" s="43"/>
      <c r="M34" s="40"/>
      <c r="N34" s="40"/>
      <c r="O34" s="43"/>
      <c r="P34" s="43"/>
      <c r="Q34" s="43"/>
      <c r="R34" s="43"/>
      <c r="S34" s="44" t="str">
        <f aca="false">IF(AND(Q34="",R34=""),"",IF(OR(AND(Q34&gt;=1,Q34&lt;=3),AND(R34&gt;=1,R34&lt;=3)),"Y","N"))</f>
        <v/>
      </c>
      <c r="T34" s="43"/>
      <c r="U34" s="43"/>
      <c r="V34" s="43"/>
      <c r="W34" s="43"/>
      <c r="X34" s="43"/>
      <c r="Y34" s="41"/>
    </row>
  </sheetData>
  <mergeCells count="5">
    <mergeCell ref="A2:I2"/>
    <mergeCell ref="J2:K2"/>
    <mergeCell ref="L2:P2"/>
    <mergeCell ref="Q2:S2"/>
    <mergeCell ref="T2:X2"/>
  </mergeCells>
  <conditionalFormatting sqref="L5:X34">
    <cfRule type="cellIs" priority="2" operator="equal" aboveAverage="0" equalAverage="0" bottom="0" percent="0" rank="0" text="" dxfId="0">
      <formula>"Y"</formula>
    </cfRule>
    <cfRule type="cellIs" priority="3" operator="equal" aboveAverage="0" equalAverage="0" bottom="0" percent="0" rank="0" text="" dxfId="1">
      <formula>"N"</formula>
    </cfRule>
  </conditionalFormatting>
  <dataValidations count="4">
    <dataValidation allowBlank="true" errorStyle="stop" operator="between" showDropDown="false" showErrorMessage="false" showInputMessage="false" sqref="G5:G34 L5:L34 O5:P34 T5:X34" type="list">
      <formula1>"Y,N"</formula1>
      <formula2>0</formula2>
    </dataValidation>
    <dataValidation allowBlank="true" errorStyle="stop" operator="between" showDropDown="false" showErrorMessage="false" showInputMessage="false" sqref="D5:D34" type="list">
      <formula1>"게시물,릴스"</formula1>
      <formula2>0</formula2>
    </dataValidation>
    <dataValidation allowBlank="true" errorStyle="stop" operator="between" showDropDown="false" showErrorMessage="false" showInputMessage="false" sqref="E5:E34" type="list">
      <formula1>"대형,소형"</formula1>
      <formula2>0</formula2>
    </dataValidation>
    <dataValidation allowBlank="true" error="0 이상의 정수를 입력하세요. 결과에 없으면 0." errorStyle="stop" operator="between" showDropDown="false" showErrorMessage="true" showInputMessage="false" sqref="Q5:R34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36"/>
  </cols>
  <sheetData>
    <row r="1" customFormat="false" ht="19.5" hidden="false" customHeight="true" outlineLevel="0" collapsed="false">
      <c r="A1" s="10" t="s">
        <v>219</v>
      </c>
    </row>
    <row r="3" customFormat="false" ht="15" hidden="false" customHeight="true" outlineLevel="0" collapsed="false">
      <c r="A3" s="13" t="s">
        <v>220</v>
      </c>
      <c r="B3" s="13" t="s">
        <v>221</v>
      </c>
      <c r="C3" s="13" t="s">
        <v>222</v>
      </c>
      <c r="D3" s="13" t="s">
        <v>223</v>
      </c>
      <c r="E3" s="13" t="s">
        <v>224</v>
      </c>
      <c r="F3" s="13" t="s">
        <v>129</v>
      </c>
    </row>
    <row r="4" customFormat="false" ht="15" hidden="false" customHeight="true" outlineLevel="0" collapsed="false">
      <c r="A4" s="21" t="s">
        <v>225</v>
      </c>
      <c r="B4" s="41"/>
      <c r="C4" s="45" t="s">
        <v>59</v>
      </c>
      <c r="D4" s="43"/>
      <c r="E4" s="41"/>
      <c r="F4" s="41"/>
    </row>
    <row r="5" customFormat="false" ht="15" hidden="false" customHeight="true" outlineLevel="0" collapsed="false">
      <c r="A5" s="21" t="s">
        <v>225</v>
      </c>
      <c r="B5" s="41"/>
      <c r="C5" s="45" t="s">
        <v>60</v>
      </c>
      <c r="D5" s="43"/>
      <c r="E5" s="41"/>
      <c r="F5" s="41"/>
    </row>
    <row r="6" customFormat="false" ht="15" hidden="false" customHeight="true" outlineLevel="0" collapsed="false">
      <c r="A6" s="21" t="s">
        <v>226</v>
      </c>
      <c r="B6" s="41"/>
      <c r="C6" s="45" t="s">
        <v>59</v>
      </c>
      <c r="D6" s="43"/>
      <c r="E6" s="41"/>
      <c r="F6" s="41"/>
    </row>
    <row r="7" customFormat="false" ht="15" hidden="false" customHeight="true" outlineLevel="0" collapsed="false">
      <c r="A7" s="21" t="s">
        <v>226</v>
      </c>
      <c r="B7" s="41"/>
      <c r="C7" s="45" t="s">
        <v>60</v>
      </c>
      <c r="D7" s="43"/>
      <c r="E7" s="41"/>
      <c r="F7" s="41"/>
    </row>
    <row r="9" customFormat="false" ht="15" hidden="false" customHeight="true" outlineLevel="0" collapsed="false">
      <c r="A9" s="3" t="s">
        <v>227</v>
      </c>
    </row>
  </sheetData>
  <conditionalFormatting sqref="D4:D7">
    <cfRule type="cellIs" priority="2" operator="equal" aboveAverage="0" equalAverage="0" bottom="0" percent="0" rank="0" text="" dxfId="0">
      <formula>"Y"</formula>
    </cfRule>
    <cfRule type="cellIs" priority="3" operator="equal" aboveAverage="0" equalAverage="0" bottom="0" percent="0" rank="0" text="" dxfId="1">
      <formula>"N"</formula>
    </cfRule>
  </conditionalFormatting>
  <dataValidations count="1">
    <dataValidation allowBlank="true" errorStyle="stop" operator="between" showDropDown="false" showErrorMessage="false" showInputMessage="false" sqref="D4:D7" type="list">
      <formula1>"Y,N,부분"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2026-10-15T01:55:51Z</dcterms:created>
  <dc:creator>openpyxl</dc:creator>
  <dc:description/>
  <dc:language>en-US</dc:language>
  <cp:lastModifiedBy/>
  <dcterms:modified xsi:type="dcterms:W3CDTF">2026-10-15T06:43:12Z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